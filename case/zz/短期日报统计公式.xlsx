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 activeTab="3"/>
  </bookViews>
  <sheets>
    <sheet name="短期均方根误差、平均绝对误差" sheetId="1" r:id="rId1"/>
    <sheet name="短期相关性系数" sheetId="2" r:id="rId2"/>
    <sheet name="最大误差合格率" sheetId="5" r:id="rId3"/>
    <sheet name="短期合格率" sheetId="3" r:id="rId4"/>
    <sheet name="安徽" sheetId="6" r:id="rId5"/>
  </sheets>
  <calcPr calcId="144525"/>
</workbook>
</file>

<file path=xl/sharedStrings.xml><?xml version="1.0" encoding="utf-8"?>
<sst xmlns="http://schemas.openxmlformats.org/spreadsheetml/2006/main" count="58" uniqueCount="48">
  <si>
    <t>输入：实发功率</t>
  </si>
  <si>
    <t>输入：预测功率</t>
  </si>
  <si>
    <t>输入：装机</t>
  </si>
  <si>
    <t>装机*0.03</t>
  </si>
  <si>
    <t>Pmi-Ppi</t>
  </si>
  <si>
    <t>（Pmi-Ppi）平方</t>
  </si>
  <si>
    <t>求和</t>
  </si>
  <si>
    <t>开根号</t>
  </si>
  <si>
    <t>计数</t>
  </si>
  <si>
    <t>计数开根号</t>
  </si>
  <si>
    <t>短期均方根误差</t>
  </si>
  <si>
    <t>风电短期精度</t>
  </si>
  <si>
    <t>id</t>
  </si>
  <si>
    <t>Ppi-Pmi</t>
  </si>
  <si>
    <t>小于装机*0.03剔除之后的结果</t>
  </si>
  <si>
    <t>有效n的个数</t>
  </si>
  <si>
    <t>平均绝对误差</t>
  </si>
  <si>
    <t>光伏短期精度</t>
  </si>
  <si>
    <t>1、绿色为输入项，蓝色为中间结果，黄色为结果</t>
  </si>
  <si>
    <t>2、数据来源：实发功率，15分钟平均值表，默认00点00分</t>
  </si>
  <si>
    <t xml:space="preserve">短期预测功率，hdrfcstdata_电厂code表，默认第2天
注：00点00分取第一天的
</t>
  </si>
  <si>
    <t>实发功率Pmi</t>
  </si>
  <si>
    <t>预测功率Ppi</t>
  </si>
  <si>
    <t>Pm-</t>
  </si>
  <si>
    <t>Ppi-</t>
  </si>
  <si>
    <t>Pmi-Pm</t>
  </si>
  <si>
    <t>Ppi-Ppi</t>
  </si>
  <si>
    <t>分子</t>
  </si>
  <si>
    <t>Pmi-Pm平方</t>
  </si>
  <si>
    <t>Ppi-Ppi平方</t>
  </si>
  <si>
    <t>相关性系数</t>
  </si>
  <si>
    <t>投运装机</t>
  </si>
  <si>
    <t>开机*0.03</t>
  </si>
  <si>
    <t>判断最大误差率
1、风电输入0.25
2、光伏输入0.2</t>
  </si>
  <si>
    <t>最大误差率</t>
  </si>
  <si>
    <t>预测=0</t>
  </si>
  <si>
    <t>实发=0</t>
  </si>
  <si>
    <t>最大误差合格率</t>
  </si>
  <si>
    <t>装机</t>
  </si>
  <si>
    <t>中间结果</t>
  </si>
  <si>
    <t>短期合格率</t>
  </si>
  <si>
    <t>输入：实发功率（Pmi）</t>
  </si>
  <si>
    <t>输入：预测功率（Ppi）</t>
  </si>
  <si>
    <t>剔除后的实发(小于10MW剔除)</t>
  </si>
  <si>
    <t>剔除后的预测(小于10MW剔除)</t>
  </si>
  <si>
    <t>(Pmi-Ppi)/Pmi</t>
  </si>
  <si>
    <t>均方根误差</t>
  </si>
  <si>
    <t>精度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</si>
</sst>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0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7" fillId="2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16" borderId="3" applyNumberFormat="0" applyAlignment="0" applyProtection="0">
      <alignment vertical="center"/>
    </xf>
    <xf numFmtId="0" fontId="18" fillId="16" borderId="7" applyNumberFormat="0" applyAlignment="0" applyProtection="0">
      <alignment vertical="center"/>
    </xf>
    <xf numFmtId="0" fontId="3" fillId="7" borderId="1" applyNumberFormat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22" fontId="0" fillId="0" borderId="0" xfId="0" applyNumberFormat="1">
      <alignment vertical="center"/>
    </xf>
    <xf numFmtId="0" fontId="0" fillId="4" borderId="0" xfId="0" applyFill="1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22" fontId="1" fillId="0" borderId="0" xfId="0" applyNumberFormat="1" applyFont="1">
      <alignment vertical="center"/>
    </xf>
    <xf numFmtId="22" fontId="1" fillId="0" borderId="0" xfId="0" applyNumberFormat="1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53"/>
  <sheetViews>
    <sheetView topLeftCell="B1" workbookViewId="0">
      <selection activeCell="O29" sqref="O29"/>
    </sheetView>
  </sheetViews>
  <sheetFormatPr defaultColWidth="9" defaultRowHeight="13.5"/>
  <cols>
    <col min="1" max="1" width="53.5" customWidth="1"/>
    <col min="2" max="2" width="16" customWidth="1"/>
    <col min="3" max="4" width="15" customWidth="1"/>
    <col min="5" max="5" width="11.5" customWidth="1"/>
    <col min="6" max="7" width="9" hidden="1" customWidth="1"/>
    <col min="8" max="8" width="11.5"/>
    <col min="9" max="9" width="15" customWidth="1"/>
    <col min="10" max="11" width="12.625" hidden="1" customWidth="1"/>
    <col min="12" max="12" width="9" hidden="1" customWidth="1"/>
    <col min="13" max="13" width="11.5" hidden="1" customWidth="1"/>
    <col min="14" max="14" width="12.625" hidden="1" customWidth="1"/>
    <col min="15" max="15" width="14.5" customWidth="1"/>
    <col min="16" max="17" width="12.625"/>
    <col min="18" max="19" width="15" customWidth="1"/>
    <col min="20" max="20" width="11.5"/>
    <col min="21" max="21" width="26" customWidth="1"/>
    <col min="22" max="22" width="12.875" customWidth="1"/>
    <col min="23" max="23" width="12.375" customWidth="1"/>
    <col min="24" max="24" width="12.625"/>
  </cols>
  <sheetData>
    <row r="1" spans="3:24">
      <c r="C1" s="7" t="s">
        <v>0</v>
      </c>
      <c r="D1" s="7" t="s">
        <v>1</v>
      </c>
      <c r="E1" s="7" t="s">
        <v>2</v>
      </c>
      <c r="F1" t="s">
        <v>3</v>
      </c>
      <c r="H1" s="3" t="s">
        <v>4</v>
      </c>
      <c r="I1" s="3" t="s">
        <v>5</v>
      </c>
      <c r="J1" t="s">
        <v>6</v>
      </c>
      <c r="K1" t="s">
        <v>7</v>
      </c>
      <c r="M1" t="s">
        <v>8</v>
      </c>
      <c r="N1" t="s">
        <v>9</v>
      </c>
      <c r="O1" s="5" t="s">
        <v>10</v>
      </c>
      <c r="P1" s="5" t="s">
        <v>11</v>
      </c>
      <c r="Q1" t="s">
        <v>12</v>
      </c>
      <c r="R1" s="7" t="s">
        <v>0</v>
      </c>
      <c r="S1" s="7" t="s">
        <v>1</v>
      </c>
      <c r="T1" s="3" t="s">
        <v>13</v>
      </c>
      <c r="U1" s="3" t="s">
        <v>14</v>
      </c>
      <c r="V1" t="s">
        <v>15</v>
      </c>
      <c r="W1" s="5" t="s">
        <v>16</v>
      </c>
      <c r="X1" s="5" t="s">
        <v>17</v>
      </c>
    </row>
    <row r="2" spans="1:24">
      <c r="A2" s="10" t="s">
        <v>18</v>
      </c>
      <c r="B2" s="4">
        <v>44361</v>
      </c>
      <c r="C2">
        <v>0</v>
      </c>
      <c r="D2">
        <v>0</v>
      </c>
      <c r="E2">
        <v>100</v>
      </c>
      <c r="F2">
        <f>E2*0.03</f>
        <v>3</v>
      </c>
      <c r="H2">
        <f>C2-D2</f>
        <v>0</v>
      </c>
      <c r="I2">
        <f>H2*H2</f>
        <v>0</v>
      </c>
      <c r="J2">
        <f>SUM(I:I)</f>
        <v>79.38353036672</v>
      </c>
      <c r="K2">
        <f>SQRT(J2)</f>
        <v>8.90974356346578</v>
      </c>
      <c r="M2">
        <f>COUNT(C:C)</f>
        <v>96</v>
      </c>
      <c r="N2">
        <f>SQRT(M2)</f>
        <v>9.79795897113271</v>
      </c>
      <c r="O2" s="6">
        <f>K2/(E2*N2)</f>
        <v>0.00909346894564078</v>
      </c>
      <c r="P2" s="6">
        <f>1-O2</f>
        <v>0.990906531054359</v>
      </c>
      <c r="Q2">
        <v>1</v>
      </c>
      <c r="R2">
        <v>0</v>
      </c>
      <c r="S2">
        <v>0</v>
      </c>
      <c r="T2">
        <f>ABS(R2-S2)/$E$2</f>
        <v>0</v>
      </c>
      <c r="U2" t="str">
        <f>IF(R2&lt;$E$2*0.03,"",T2)</f>
        <v/>
      </c>
      <c r="V2">
        <f>COUNT(U:U)</f>
        <v>43</v>
      </c>
      <c r="W2" s="6">
        <f>SUM(U:U)/V2</f>
        <v>0.0114598920930233</v>
      </c>
      <c r="X2" s="6">
        <f>1-W2</f>
        <v>0.988540107906977</v>
      </c>
    </row>
    <row r="3" spans="1:21">
      <c r="A3" s="10" t="s">
        <v>19</v>
      </c>
      <c r="B3" s="4">
        <v>44361.0104166667</v>
      </c>
      <c r="C3">
        <v>0</v>
      </c>
      <c r="D3">
        <v>0</v>
      </c>
      <c r="H3">
        <f>C3-D3</f>
        <v>0</v>
      </c>
      <c r="I3">
        <f>H3*H3</f>
        <v>0</v>
      </c>
      <c r="O3" s="6"/>
      <c r="R3">
        <v>0</v>
      </c>
      <c r="S3">
        <v>0</v>
      </c>
      <c r="T3">
        <f>ABS(R3-S3)/$E$2</f>
        <v>0</v>
      </c>
      <c r="U3" t="str">
        <f t="shared" ref="U3:U40" si="0">IF(R3&lt;$E$2*0.03,"",T3)</f>
        <v/>
      </c>
    </row>
    <row r="4" ht="40.5" spans="1:21">
      <c r="A4" s="11" t="s">
        <v>20</v>
      </c>
      <c r="B4" s="4">
        <v>44361.0208333333</v>
      </c>
      <c r="C4">
        <v>0</v>
      </c>
      <c r="D4">
        <v>0</v>
      </c>
      <c r="H4">
        <f>C4-D4</f>
        <v>0</v>
      </c>
      <c r="I4">
        <f t="shared" ref="I4:I46" si="1">H4*H4</f>
        <v>0</v>
      </c>
      <c r="R4">
        <v>0</v>
      </c>
      <c r="S4">
        <v>0</v>
      </c>
      <c r="T4">
        <f t="shared" ref="T4:T46" si="2">ABS(R4-S4)/$E$2</f>
        <v>0</v>
      </c>
      <c r="U4" t="str">
        <f t="shared" si="0"/>
        <v/>
      </c>
    </row>
    <row r="5" spans="1:21">
      <c r="A5" s="4"/>
      <c r="B5" s="4">
        <v>44361.03125</v>
      </c>
      <c r="C5">
        <v>0</v>
      </c>
      <c r="D5">
        <v>0</v>
      </c>
      <c r="H5">
        <f t="shared" ref="H4:H46" si="3">C5-D5</f>
        <v>0</v>
      </c>
      <c r="I5">
        <f t="shared" si="1"/>
        <v>0</v>
      </c>
      <c r="R5">
        <v>0</v>
      </c>
      <c r="S5">
        <v>0</v>
      </c>
      <c r="T5">
        <f t="shared" si="2"/>
        <v>0</v>
      </c>
      <c r="U5" t="str">
        <f t="shared" si="0"/>
        <v/>
      </c>
    </row>
    <row r="6" spans="1:21">
      <c r="A6" s="4"/>
      <c r="B6" s="4">
        <v>44361.0416666667</v>
      </c>
      <c r="C6">
        <v>0</v>
      </c>
      <c r="D6">
        <v>0</v>
      </c>
      <c r="H6">
        <f t="shared" si="3"/>
        <v>0</v>
      </c>
      <c r="I6">
        <f t="shared" si="1"/>
        <v>0</v>
      </c>
      <c r="R6">
        <v>0</v>
      </c>
      <c r="S6">
        <v>0</v>
      </c>
      <c r="T6">
        <f t="shared" si="2"/>
        <v>0</v>
      </c>
      <c r="U6" t="str">
        <f t="shared" si="0"/>
        <v/>
      </c>
    </row>
    <row r="7" spans="1:21">
      <c r="A7" s="4"/>
      <c r="B7" s="4">
        <v>44361.0520833333</v>
      </c>
      <c r="C7">
        <v>0</v>
      </c>
      <c r="D7">
        <v>0</v>
      </c>
      <c r="H7">
        <f t="shared" si="3"/>
        <v>0</v>
      </c>
      <c r="I7">
        <f t="shared" si="1"/>
        <v>0</v>
      </c>
      <c r="R7">
        <v>0</v>
      </c>
      <c r="S7">
        <v>0</v>
      </c>
      <c r="T7">
        <f t="shared" si="2"/>
        <v>0</v>
      </c>
      <c r="U7" t="str">
        <f t="shared" si="0"/>
        <v/>
      </c>
    </row>
    <row r="8" spans="1:21">
      <c r="A8" s="4"/>
      <c r="B8" s="4">
        <v>44361.0625</v>
      </c>
      <c r="C8">
        <v>0</v>
      </c>
      <c r="D8">
        <v>0</v>
      </c>
      <c r="H8">
        <f t="shared" si="3"/>
        <v>0</v>
      </c>
      <c r="I8">
        <f t="shared" si="1"/>
        <v>0</v>
      </c>
      <c r="R8">
        <v>0</v>
      </c>
      <c r="S8">
        <v>0</v>
      </c>
      <c r="T8">
        <f t="shared" si="2"/>
        <v>0</v>
      </c>
      <c r="U8" t="str">
        <f t="shared" si="0"/>
        <v/>
      </c>
    </row>
    <row r="9" spans="1:21">
      <c r="A9" s="4"/>
      <c r="B9" s="4">
        <v>44361.0729166667</v>
      </c>
      <c r="C9">
        <v>0</v>
      </c>
      <c r="D9">
        <v>0</v>
      </c>
      <c r="H9">
        <f t="shared" si="3"/>
        <v>0</v>
      </c>
      <c r="I9">
        <f t="shared" si="1"/>
        <v>0</v>
      </c>
      <c r="R9">
        <v>0</v>
      </c>
      <c r="S9">
        <v>0</v>
      </c>
      <c r="T9">
        <f t="shared" si="2"/>
        <v>0</v>
      </c>
      <c r="U9" t="str">
        <f t="shared" si="0"/>
        <v/>
      </c>
    </row>
    <row r="10" spans="1:21">
      <c r="A10" s="4"/>
      <c r="B10" s="4">
        <v>44361.0833333333</v>
      </c>
      <c r="C10">
        <v>0</v>
      </c>
      <c r="D10">
        <v>0</v>
      </c>
      <c r="H10">
        <f t="shared" si="3"/>
        <v>0</v>
      </c>
      <c r="I10">
        <f t="shared" si="1"/>
        <v>0</v>
      </c>
      <c r="R10">
        <v>0</v>
      </c>
      <c r="S10">
        <v>0</v>
      </c>
      <c r="T10">
        <f t="shared" si="2"/>
        <v>0</v>
      </c>
      <c r="U10" t="str">
        <f t="shared" si="0"/>
        <v/>
      </c>
    </row>
    <row r="11" spans="1:21">
      <c r="A11" s="4"/>
      <c r="B11" s="4">
        <v>44361.09375</v>
      </c>
      <c r="C11">
        <v>0</v>
      </c>
      <c r="D11">
        <v>0</v>
      </c>
      <c r="H11">
        <f t="shared" si="3"/>
        <v>0</v>
      </c>
      <c r="I11">
        <f t="shared" si="1"/>
        <v>0</v>
      </c>
      <c r="R11">
        <v>0</v>
      </c>
      <c r="S11">
        <v>0</v>
      </c>
      <c r="T11">
        <f t="shared" si="2"/>
        <v>0</v>
      </c>
      <c r="U11" t="str">
        <f t="shared" si="0"/>
        <v/>
      </c>
    </row>
    <row r="12" spans="1:21">
      <c r="A12" s="4"/>
      <c r="B12" s="4">
        <v>44361.1041666667</v>
      </c>
      <c r="C12">
        <v>0</v>
      </c>
      <c r="D12">
        <v>0</v>
      </c>
      <c r="H12">
        <f t="shared" si="3"/>
        <v>0</v>
      </c>
      <c r="I12">
        <f t="shared" si="1"/>
        <v>0</v>
      </c>
      <c r="R12">
        <v>0</v>
      </c>
      <c r="S12">
        <v>0</v>
      </c>
      <c r="T12">
        <f t="shared" si="2"/>
        <v>0</v>
      </c>
      <c r="U12" t="str">
        <f t="shared" si="0"/>
        <v/>
      </c>
    </row>
    <row r="13" spans="1:21">
      <c r="A13" s="4"/>
      <c r="B13" s="4">
        <v>44361.1145833333</v>
      </c>
      <c r="C13">
        <v>0</v>
      </c>
      <c r="D13">
        <v>0</v>
      </c>
      <c r="H13">
        <f t="shared" si="3"/>
        <v>0</v>
      </c>
      <c r="I13">
        <f t="shared" si="1"/>
        <v>0</v>
      </c>
      <c r="R13">
        <v>0</v>
      </c>
      <c r="S13">
        <v>0</v>
      </c>
      <c r="T13">
        <f t="shared" si="2"/>
        <v>0</v>
      </c>
      <c r="U13" t="str">
        <f t="shared" si="0"/>
        <v/>
      </c>
    </row>
    <row r="14" spans="1:21">
      <c r="A14" s="4"/>
      <c r="B14" s="4">
        <v>44361.125</v>
      </c>
      <c r="C14">
        <v>0</v>
      </c>
      <c r="D14">
        <v>0</v>
      </c>
      <c r="H14">
        <f t="shared" si="3"/>
        <v>0</v>
      </c>
      <c r="I14">
        <f t="shared" si="1"/>
        <v>0</v>
      </c>
      <c r="R14">
        <v>0</v>
      </c>
      <c r="S14">
        <v>0</v>
      </c>
      <c r="T14">
        <f t="shared" si="2"/>
        <v>0</v>
      </c>
      <c r="U14" t="str">
        <f t="shared" si="0"/>
        <v/>
      </c>
    </row>
    <row r="15" spans="1:21">
      <c r="A15" s="4"/>
      <c r="B15" s="4">
        <v>44361.1354166667</v>
      </c>
      <c r="C15">
        <v>0</v>
      </c>
      <c r="D15">
        <v>0</v>
      </c>
      <c r="H15">
        <f t="shared" si="3"/>
        <v>0</v>
      </c>
      <c r="I15">
        <f t="shared" si="1"/>
        <v>0</v>
      </c>
      <c r="R15">
        <v>0</v>
      </c>
      <c r="S15">
        <v>0</v>
      </c>
      <c r="T15">
        <f t="shared" si="2"/>
        <v>0</v>
      </c>
      <c r="U15" t="str">
        <f t="shared" si="0"/>
        <v/>
      </c>
    </row>
    <row r="16" spans="1:21">
      <c r="A16" s="4"/>
      <c r="B16" s="4">
        <v>44361.1458333333</v>
      </c>
      <c r="C16">
        <v>0</v>
      </c>
      <c r="D16">
        <v>0</v>
      </c>
      <c r="H16">
        <f t="shared" si="3"/>
        <v>0</v>
      </c>
      <c r="I16">
        <f t="shared" si="1"/>
        <v>0</v>
      </c>
      <c r="R16">
        <v>0</v>
      </c>
      <c r="S16">
        <v>0</v>
      </c>
      <c r="T16">
        <f t="shared" si="2"/>
        <v>0</v>
      </c>
      <c r="U16" t="str">
        <f t="shared" si="0"/>
        <v/>
      </c>
    </row>
    <row r="17" spans="1:21">
      <c r="A17" s="4"/>
      <c r="B17" s="4">
        <v>44361.15625</v>
      </c>
      <c r="C17">
        <v>0</v>
      </c>
      <c r="D17">
        <v>0</v>
      </c>
      <c r="H17">
        <f t="shared" si="3"/>
        <v>0</v>
      </c>
      <c r="I17">
        <f t="shared" si="1"/>
        <v>0</v>
      </c>
      <c r="R17">
        <v>0</v>
      </c>
      <c r="S17">
        <v>0</v>
      </c>
      <c r="T17">
        <f t="shared" si="2"/>
        <v>0</v>
      </c>
      <c r="U17" t="str">
        <f t="shared" si="0"/>
        <v/>
      </c>
    </row>
    <row r="18" spans="1:21">
      <c r="A18" s="4"/>
      <c r="B18" s="4">
        <v>44361.1666666667</v>
      </c>
      <c r="C18">
        <v>0</v>
      </c>
      <c r="D18">
        <v>0</v>
      </c>
      <c r="H18">
        <f t="shared" si="3"/>
        <v>0</v>
      </c>
      <c r="I18">
        <f t="shared" si="1"/>
        <v>0</v>
      </c>
      <c r="R18">
        <v>0</v>
      </c>
      <c r="S18">
        <v>0</v>
      </c>
      <c r="T18">
        <f t="shared" si="2"/>
        <v>0</v>
      </c>
      <c r="U18" t="str">
        <f t="shared" si="0"/>
        <v/>
      </c>
    </row>
    <row r="19" spans="1:21">
      <c r="A19" s="4"/>
      <c r="B19" s="4">
        <v>44361.1770833333</v>
      </c>
      <c r="C19">
        <v>0</v>
      </c>
      <c r="D19">
        <v>0</v>
      </c>
      <c r="H19">
        <f t="shared" si="3"/>
        <v>0</v>
      </c>
      <c r="I19">
        <f t="shared" si="1"/>
        <v>0</v>
      </c>
      <c r="R19">
        <v>0</v>
      </c>
      <c r="S19">
        <v>0</v>
      </c>
      <c r="T19">
        <f t="shared" si="2"/>
        <v>0</v>
      </c>
      <c r="U19" t="str">
        <f t="shared" si="0"/>
        <v/>
      </c>
    </row>
    <row r="20" spans="1:21">
      <c r="A20" s="4"/>
      <c r="B20" s="4">
        <v>44361.1875</v>
      </c>
      <c r="C20">
        <v>0</v>
      </c>
      <c r="D20">
        <v>0</v>
      </c>
      <c r="H20">
        <f t="shared" si="3"/>
        <v>0</v>
      </c>
      <c r="I20">
        <f t="shared" si="1"/>
        <v>0</v>
      </c>
      <c r="R20">
        <v>0</v>
      </c>
      <c r="S20">
        <v>0</v>
      </c>
      <c r="T20">
        <f t="shared" si="2"/>
        <v>0</v>
      </c>
      <c r="U20" t="str">
        <f t="shared" si="0"/>
        <v/>
      </c>
    </row>
    <row r="21" spans="1:21">
      <c r="A21" s="4"/>
      <c r="B21" s="4">
        <v>44361.1979166667</v>
      </c>
      <c r="C21">
        <v>0</v>
      </c>
      <c r="D21">
        <v>0</v>
      </c>
      <c r="H21">
        <f t="shared" si="3"/>
        <v>0</v>
      </c>
      <c r="I21">
        <f t="shared" si="1"/>
        <v>0</v>
      </c>
      <c r="R21">
        <v>0</v>
      </c>
      <c r="S21">
        <v>0</v>
      </c>
      <c r="T21">
        <f t="shared" si="2"/>
        <v>0</v>
      </c>
      <c r="U21" t="str">
        <f t="shared" si="0"/>
        <v/>
      </c>
    </row>
    <row r="22" spans="1:21">
      <c r="A22" s="4"/>
      <c r="B22" s="4">
        <v>44361.2083333333</v>
      </c>
      <c r="C22">
        <v>0</v>
      </c>
      <c r="D22">
        <v>0</v>
      </c>
      <c r="H22">
        <f t="shared" si="3"/>
        <v>0</v>
      </c>
      <c r="I22">
        <f t="shared" si="1"/>
        <v>0</v>
      </c>
      <c r="R22">
        <v>0</v>
      </c>
      <c r="S22">
        <v>0</v>
      </c>
      <c r="T22">
        <f t="shared" si="2"/>
        <v>0</v>
      </c>
      <c r="U22" t="str">
        <f t="shared" si="0"/>
        <v/>
      </c>
    </row>
    <row r="23" spans="1:21">
      <c r="A23" s="4"/>
      <c r="B23" s="4">
        <v>44361.21875</v>
      </c>
      <c r="C23">
        <v>0</v>
      </c>
      <c r="D23">
        <v>0</v>
      </c>
      <c r="H23">
        <f t="shared" si="3"/>
        <v>0</v>
      </c>
      <c r="I23">
        <f t="shared" si="1"/>
        <v>0</v>
      </c>
      <c r="R23">
        <v>0</v>
      </c>
      <c r="S23">
        <v>0</v>
      </c>
      <c r="T23">
        <f t="shared" si="2"/>
        <v>0</v>
      </c>
      <c r="U23" t="str">
        <f t="shared" si="0"/>
        <v/>
      </c>
    </row>
    <row r="24" spans="1:21">
      <c r="A24" s="4"/>
      <c r="B24" s="4">
        <v>44361.2291666667</v>
      </c>
      <c r="C24">
        <v>0</v>
      </c>
      <c r="D24">
        <v>0</v>
      </c>
      <c r="H24">
        <f t="shared" si="3"/>
        <v>0</v>
      </c>
      <c r="I24">
        <f t="shared" si="1"/>
        <v>0</v>
      </c>
      <c r="R24">
        <v>0</v>
      </c>
      <c r="S24">
        <v>0</v>
      </c>
      <c r="T24">
        <f t="shared" si="2"/>
        <v>0</v>
      </c>
      <c r="U24" t="str">
        <f t="shared" si="0"/>
        <v/>
      </c>
    </row>
    <row r="25" spans="1:21">
      <c r="A25" s="4"/>
      <c r="B25" s="4">
        <v>44361.2395833333</v>
      </c>
      <c r="C25">
        <v>0</v>
      </c>
      <c r="D25">
        <v>0</v>
      </c>
      <c r="H25">
        <f t="shared" si="3"/>
        <v>0</v>
      </c>
      <c r="I25">
        <f t="shared" si="1"/>
        <v>0</v>
      </c>
      <c r="R25">
        <v>0</v>
      </c>
      <c r="S25">
        <v>0</v>
      </c>
      <c r="T25">
        <f t="shared" si="2"/>
        <v>0</v>
      </c>
      <c r="U25" t="str">
        <f t="shared" si="0"/>
        <v/>
      </c>
    </row>
    <row r="26" spans="1:21">
      <c r="A26" s="4"/>
      <c r="B26" s="4">
        <v>44361.25</v>
      </c>
      <c r="C26">
        <v>0</v>
      </c>
      <c r="D26">
        <v>0</v>
      </c>
      <c r="H26">
        <f t="shared" si="3"/>
        <v>0</v>
      </c>
      <c r="I26">
        <f t="shared" si="1"/>
        <v>0</v>
      </c>
      <c r="R26">
        <v>0</v>
      </c>
      <c r="S26">
        <v>0</v>
      </c>
      <c r="T26">
        <f t="shared" si="2"/>
        <v>0</v>
      </c>
      <c r="U26" t="str">
        <f t="shared" si="0"/>
        <v/>
      </c>
    </row>
    <row r="27" spans="1:21">
      <c r="A27" s="4"/>
      <c r="B27" s="4">
        <v>44361.2604166667</v>
      </c>
      <c r="C27">
        <v>0</v>
      </c>
      <c r="D27">
        <v>0</v>
      </c>
      <c r="H27">
        <f t="shared" si="3"/>
        <v>0</v>
      </c>
      <c r="I27">
        <f t="shared" si="1"/>
        <v>0</v>
      </c>
      <c r="R27">
        <v>0</v>
      </c>
      <c r="S27">
        <v>0</v>
      </c>
      <c r="T27">
        <f t="shared" si="2"/>
        <v>0</v>
      </c>
      <c r="U27" t="str">
        <f t="shared" si="0"/>
        <v/>
      </c>
    </row>
    <row r="28" spans="1:21">
      <c r="A28" s="4"/>
      <c r="B28" s="4">
        <v>44361.2708333333</v>
      </c>
      <c r="C28">
        <v>0</v>
      </c>
      <c r="D28">
        <v>0</v>
      </c>
      <c r="H28">
        <f t="shared" si="3"/>
        <v>0</v>
      </c>
      <c r="I28">
        <f t="shared" si="1"/>
        <v>0</v>
      </c>
      <c r="R28">
        <v>0</v>
      </c>
      <c r="S28">
        <v>0</v>
      </c>
      <c r="T28">
        <f t="shared" si="2"/>
        <v>0</v>
      </c>
      <c r="U28" t="str">
        <f t="shared" si="0"/>
        <v/>
      </c>
    </row>
    <row r="29" spans="1:21">
      <c r="A29" s="4"/>
      <c r="B29" s="4">
        <v>44361.28125</v>
      </c>
      <c r="C29">
        <v>0</v>
      </c>
      <c r="D29">
        <v>0</v>
      </c>
      <c r="H29">
        <f t="shared" si="3"/>
        <v>0</v>
      </c>
      <c r="I29">
        <f t="shared" si="1"/>
        <v>0</v>
      </c>
      <c r="R29">
        <v>0</v>
      </c>
      <c r="S29">
        <v>0</v>
      </c>
      <c r="T29">
        <f t="shared" si="2"/>
        <v>0</v>
      </c>
      <c r="U29" t="str">
        <f t="shared" si="0"/>
        <v/>
      </c>
    </row>
    <row r="30" spans="1:21">
      <c r="A30" s="4"/>
      <c r="B30" s="4">
        <v>44361.2916666667</v>
      </c>
      <c r="C30">
        <v>0</v>
      </c>
      <c r="D30">
        <v>0</v>
      </c>
      <c r="H30">
        <f t="shared" si="3"/>
        <v>0</v>
      </c>
      <c r="I30">
        <f t="shared" si="1"/>
        <v>0</v>
      </c>
      <c r="R30">
        <v>0</v>
      </c>
      <c r="S30">
        <v>0</v>
      </c>
      <c r="T30">
        <f t="shared" si="2"/>
        <v>0</v>
      </c>
      <c r="U30" t="str">
        <f t="shared" si="0"/>
        <v/>
      </c>
    </row>
    <row r="31" spans="1:21">
      <c r="A31" s="4"/>
      <c r="B31" s="4">
        <v>44361.3020833333</v>
      </c>
      <c r="C31">
        <v>0</v>
      </c>
      <c r="D31">
        <v>1.051575</v>
      </c>
      <c r="H31">
        <f t="shared" si="3"/>
        <v>-1.051575</v>
      </c>
      <c r="I31">
        <f t="shared" si="1"/>
        <v>1.105809980625</v>
      </c>
      <c r="R31">
        <v>0</v>
      </c>
      <c r="S31">
        <v>1.051575</v>
      </c>
      <c r="T31">
        <f t="shared" si="2"/>
        <v>0.01051575</v>
      </c>
      <c r="U31" t="str">
        <f t="shared" si="0"/>
        <v/>
      </c>
    </row>
    <row r="32" spans="1:21">
      <c r="A32" s="4"/>
      <c r="B32" s="4">
        <v>44361.3125</v>
      </c>
      <c r="C32">
        <v>1.012162</v>
      </c>
      <c r="D32">
        <v>1.548981</v>
      </c>
      <c r="H32">
        <f t="shared" si="3"/>
        <v>-0.536819</v>
      </c>
      <c r="I32">
        <f t="shared" si="1"/>
        <v>0.288174638761</v>
      </c>
      <c r="R32">
        <v>1.012162</v>
      </c>
      <c r="S32">
        <v>1.548981</v>
      </c>
      <c r="T32">
        <f t="shared" si="2"/>
        <v>0.00536819</v>
      </c>
      <c r="U32" t="str">
        <f t="shared" si="0"/>
        <v/>
      </c>
    </row>
    <row r="33" spans="1:21">
      <c r="A33" s="4"/>
      <c r="B33" s="4">
        <v>44361.3229166667</v>
      </c>
      <c r="C33">
        <v>1.520407</v>
      </c>
      <c r="D33">
        <v>2.252276</v>
      </c>
      <c r="H33">
        <f t="shared" si="3"/>
        <v>-0.731869</v>
      </c>
      <c r="I33">
        <f t="shared" si="1"/>
        <v>0.535632233161</v>
      </c>
      <c r="R33">
        <v>1.520407</v>
      </c>
      <c r="S33">
        <v>2.252276</v>
      </c>
      <c r="T33">
        <f t="shared" si="2"/>
        <v>0.00731869</v>
      </c>
      <c r="U33" t="str">
        <f t="shared" si="0"/>
        <v/>
      </c>
    </row>
    <row r="34" spans="1:21">
      <c r="A34" s="4"/>
      <c r="B34" s="4">
        <v>44361.3333333333</v>
      </c>
      <c r="C34">
        <v>2.147789</v>
      </c>
      <c r="D34">
        <v>3.122015</v>
      </c>
      <c r="H34">
        <f t="shared" si="3"/>
        <v>-0.974226</v>
      </c>
      <c r="I34">
        <f t="shared" si="1"/>
        <v>0.949116299076</v>
      </c>
      <c r="R34">
        <v>2.147789</v>
      </c>
      <c r="S34">
        <v>3.122015</v>
      </c>
      <c r="T34">
        <f t="shared" si="2"/>
        <v>0.00974226</v>
      </c>
      <c r="U34" t="str">
        <f t="shared" si="0"/>
        <v/>
      </c>
    </row>
    <row r="35" spans="1:21">
      <c r="A35" s="4"/>
      <c r="B35" s="4">
        <v>44361.34375</v>
      </c>
      <c r="C35">
        <v>3.027694</v>
      </c>
      <c r="D35">
        <v>4.116826</v>
      </c>
      <c r="H35">
        <f t="shared" si="3"/>
        <v>-1.089132</v>
      </c>
      <c r="I35">
        <f t="shared" si="1"/>
        <v>1.186208513424</v>
      </c>
      <c r="R35">
        <v>3.027694</v>
      </c>
      <c r="S35">
        <v>4.116826</v>
      </c>
      <c r="T35">
        <f t="shared" si="2"/>
        <v>0.01089132</v>
      </c>
      <c r="U35">
        <f t="shared" si="0"/>
        <v>0.01089132</v>
      </c>
    </row>
    <row r="36" spans="1:21">
      <c r="A36" s="4"/>
      <c r="B36" s="4">
        <v>44361.3541666667</v>
      </c>
      <c r="C36">
        <v>4.167875</v>
      </c>
      <c r="D36">
        <v>5.197264</v>
      </c>
      <c r="H36">
        <f t="shared" si="3"/>
        <v>-1.029389</v>
      </c>
      <c r="I36">
        <f t="shared" si="1"/>
        <v>1.059641713321</v>
      </c>
      <c r="R36">
        <v>4.167875</v>
      </c>
      <c r="S36">
        <v>5.197264</v>
      </c>
      <c r="T36">
        <f t="shared" si="2"/>
        <v>0.01029389</v>
      </c>
      <c r="U36">
        <f t="shared" si="0"/>
        <v>0.01029389</v>
      </c>
    </row>
    <row r="37" spans="1:21">
      <c r="A37" s="4"/>
      <c r="B37" s="4">
        <v>44361.3645833333</v>
      </c>
      <c r="C37">
        <v>5.303651</v>
      </c>
      <c r="D37">
        <v>6.32292</v>
      </c>
      <c r="H37">
        <f t="shared" si="3"/>
        <v>-1.019269</v>
      </c>
      <c r="I37">
        <f t="shared" si="1"/>
        <v>1.038909294361</v>
      </c>
      <c r="R37">
        <v>5.303651</v>
      </c>
      <c r="S37">
        <v>6.32292</v>
      </c>
      <c r="T37">
        <f t="shared" si="2"/>
        <v>0.01019269</v>
      </c>
      <c r="U37">
        <f t="shared" si="0"/>
        <v>0.01019269</v>
      </c>
    </row>
    <row r="38" spans="1:21">
      <c r="A38" s="4"/>
      <c r="B38" s="4">
        <v>44361.375</v>
      </c>
      <c r="C38">
        <v>6.382785</v>
      </c>
      <c r="D38">
        <v>7.453389</v>
      </c>
      <c r="H38">
        <f t="shared" si="3"/>
        <v>-1.070604</v>
      </c>
      <c r="I38">
        <f t="shared" si="1"/>
        <v>1.146192924816</v>
      </c>
      <c r="R38">
        <v>6.382785</v>
      </c>
      <c r="S38">
        <v>7.453389</v>
      </c>
      <c r="T38">
        <f t="shared" si="2"/>
        <v>0.01070604</v>
      </c>
      <c r="U38">
        <f t="shared" si="0"/>
        <v>0.01070604</v>
      </c>
    </row>
    <row r="39" spans="1:21">
      <c r="A39" s="4"/>
      <c r="B39" s="4">
        <v>44361.3854166667</v>
      </c>
      <c r="C39">
        <v>7.328796</v>
      </c>
      <c r="D39">
        <v>8.548258</v>
      </c>
      <c r="H39">
        <f t="shared" si="3"/>
        <v>-1.219462</v>
      </c>
      <c r="I39">
        <f t="shared" si="1"/>
        <v>1.487087569444</v>
      </c>
      <c r="R39">
        <v>7.328796</v>
      </c>
      <c r="S39">
        <v>8.548258</v>
      </c>
      <c r="T39">
        <f t="shared" si="2"/>
        <v>0.01219462</v>
      </c>
      <c r="U39">
        <f t="shared" si="0"/>
        <v>0.01219462</v>
      </c>
    </row>
    <row r="40" spans="1:21">
      <c r="A40" s="4"/>
      <c r="B40" s="4">
        <v>44361.3958333333</v>
      </c>
      <c r="C40">
        <v>8.540904</v>
      </c>
      <c r="D40">
        <v>9.567122</v>
      </c>
      <c r="H40">
        <f t="shared" si="3"/>
        <v>-1.026218</v>
      </c>
      <c r="I40">
        <f t="shared" si="1"/>
        <v>1.053123383524</v>
      </c>
      <c r="R40">
        <v>8.540904</v>
      </c>
      <c r="S40">
        <v>9.567122</v>
      </c>
      <c r="T40">
        <f t="shared" si="2"/>
        <v>0.01026218</v>
      </c>
      <c r="U40">
        <f t="shared" si="0"/>
        <v>0.01026218</v>
      </c>
    </row>
    <row r="41" spans="1:21">
      <c r="A41" s="4"/>
      <c r="B41" s="4">
        <v>44361.40625</v>
      </c>
      <c r="C41">
        <v>9.818505</v>
      </c>
      <c r="D41">
        <v>10.492663</v>
      </c>
      <c r="H41">
        <f t="shared" ref="H41:H59" si="4">C41-D41</f>
        <v>-0.674158</v>
      </c>
      <c r="I41">
        <f t="shared" ref="I41:I59" si="5">H41*H41</f>
        <v>0.454489008964</v>
      </c>
      <c r="R41">
        <v>9.818505</v>
      </c>
      <c r="S41">
        <v>10.492663</v>
      </c>
      <c r="T41">
        <f t="shared" ref="T41:T57" si="6">ABS(R41-S41)/$E$2</f>
        <v>0.00674158</v>
      </c>
      <c r="U41">
        <f t="shared" ref="U41:U57" si="7">IF(R41&lt;$E$2*0.03,"",T41)</f>
        <v>0.00674158</v>
      </c>
    </row>
    <row r="42" spans="1:21">
      <c r="A42" s="4"/>
      <c r="B42" s="4">
        <v>44361.4166666667</v>
      </c>
      <c r="C42">
        <v>11.252011</v>
      </c>
      <c r="D42">
        <v>11.429748</v>
      </c>
      <c r="H42">
        <f t="shared" si="4"/>
        <v>-0.177737</v>
      </c>
      <c r="I42">
        <f t="shared" si="5"/>
        <v>0.0315904411690002</v>
      </c>
      <c r="R42">
        <v>11.252011</v>
      </c>
      <c r="S42">
        <v>11.429748</v>
      </c>
      <c r="T42">
        <f t="shared" si="6"/>
        <v>0.00177737</v>
      </c>
      <c r="U42">
        <f t="shared" si="7"/>
        <v>0.00177737</v>
      </c>
    </row>
    <row r="43" spans="1:21">
      <c r="A43" s="4"/>
      <c r="B43" s="4">
        <v>44361.4270833333</v>
      </c>
      <c r="C43">
        <v>11.19128</v>
      </c>
      <c r="D43">
        <v>12.390886</v>
      </c>
      <c r="H43">
        <f t="shared" si="4"/>
        <v>-1.199606</v>
      </c>
      <c r="I43">
        <f t="shared" si="5"/>
        <v>1.439054555236</v>
      </c>
      <c r="R43">
        <v>11.19128</v>
      </c>
      <c r="S43">
        <v>12.390886</v>
      </c>
      <c r="T43">
        <f t="shared" si="6"/>
        <v>0.01199606</v>
      </c>
      <c r="U43">
        <f t="shared" si="7"/>
        <v>0.01199606</v>
      </c>
    </row>
    <row r="44" spans="1:21">
      <c r="A44" s="4"/>
      <c r="B44" s="4">
        <v>44361.4375</v>
      </c>
      <c r="C44">
        <v>13.246506</v>
      </c>
      <c r="D44">
        <v>13.368379</v>
      </c>
      <c r="H44">
        <f t="shared" si="4"/>
        <v>-0.121872999999999</v>
      </c>
      <c r="I44">
        <f t="shared" si="5"/>
        <v>0.0148530281289998</v>
      </c>
      <c r="R44">
        <v>13.246506</v>
      </c>
      <c r="S44">
        <v>13.368379</v>
      </c>
      <c r="T44">
        <f t="shared" si="6"/>
        <v>0.00121872999999999</v>
      </c>
      <c r="U44">
        <f t="shared" si="7"/>
        <v>0.00121872999999999</v>
      </c>
    </row>
    <row r="45" spans="1:21">
      <c r="A45" s="4"/>
      <c r="B45" s="4">
        <v>44361.4479166667</v>
      </c>
      <c r="C45">
        <v>13.168933</v>
      </c>
      <c r="D45">
        <v>14.353571</v>
      </c>
      <c r="H45">
        <f t="shared" si="4"/>
        <v>-1.184638</v>
      </c>
      <c r="I45">
        <f t="shared" si="5"/>
        <v>1.403367191044</v>
      </c>
      <c r="R45">
        <v>13.168933</v>
      </c>
      <c r="S45">
        <v>14.353571</v>
      </c>
      <c r="T45">
        <f t="shared" si="6"/>
        <v>0.01184638</v>
      </c>
      <c r="U45">
        <f t="shared" si="7"/>
        <v>0.01184638</v>
      </c>
    </row>
    <row r="46" spans="1:21">
      <c r="A46" s="4"/>
      <c r="B46" s="4">
        <v>44361.4583333333</v>
      </c>
      <c r="C46">
        <v>13.462818</v>
      </c>
      <c r="D46">
        <v>15.336836</v>
      </c>
      <c r="H46">
        <f t="shared" si="4"/>
        <v>-1.874018</v>
      </c>
      <c r="I46">
        <f t="shared" si="5"/>
        <v>3.511943464324</v>
      </c>
      <c r="R46">
        <v>13.462818</v>
      </c>
      <c r="S46">
        <v>15.336836</v>
      </c>
      <c r="T46">
        <f t="shared" si="6"/>
        <v>0.01874018</v>
      </c>
      <c r="U46">
        <f t="shared" si="7"/>
        <v>0.01874018</v>
      </c>
    </row>
    <row r="47" spans="1:21">
      <c r="A47" s="4"/>
      <c r="B47" s="4">
        <v>44361.46875</v>
      </c>
      <c r="C47">
        <v>14.702247</v>
      </c>
      <c r="D47">
        <v>16.309519</v>
      </c>
      <c r="H47">
        <f t="shared" si="4"/>
        <v>-1.607272</v>
      </c>
      <c r="I47">
        <f t="shared" si="5"/>
        <v>2.58332328198401</v>
      </c>
      <c r="R47">
        <v>14.702247</v>
      </c>
      <c r="S47">
        <v>16.309519</v>
      </c>
      <c r="T47">
        <f t="shared" si="6"/>
        <v>0.01607272</v>
      </c>
      <c r="U47">
        <f t="shared" si="7"/>
        <v>0.01607272</v>
      </c>
    </row>
    <row r="48" spans="1:21">
      <c r="A48" s="4"/>
      <c r="B48" s="4">
        <v>44361.4791666667</v>
      </c>
      <c r="C48">
        <v>16.893316</v>
      </c>
      <c r="D48">
        <v>17.264885</v>
      </c>
      <c r="H48">
        <f t="shared" si="4"/>
        <v>-0.371569000000001</v>
      </c>
      <c r="I48">
        <f t="shared" si="5"/>
        <v>0.138063521761001</v>
      </c>
      <c r="R48">
        <v>16.893316</v>
      </c>
      <c r="S48">
        <v>17.264885</v>
      </c>
      <c r="T48">
        <f t="shared" si="6"/>
        <v>0.00371569000000001</v>
      </c>
      <c r="U48">
        <f t="shared" si="7"/>
        <v>0.00371569000000001</v>
      </c>
    </row>
    <row r="49" spans="1:21">
      <c r="A49" s="4"/>
      <c r="B49" s="4">
        <v>44361.4895833333</v>
      </c>
      <c r="C49">
        <v>16.946383</v>
      </c>
      <c r="D49">
        <v>18.191387</v>
      </c>
      <c r="H49">
        <f t="shared" si="4"/>
        <v>-1.245004</v>
      </c>
      <c r="I49">
        <f t="shared" si="5"/>
        <v>1.550034960016</v>
      </c>
      <c r="R49">
        <v>16.946383</v>
      </c>
      <c r="S49">
        <v>18.191387</v>
      </c>
      <c r="T49">
        <f t="shared" si="6"/>
        <v>0.01245004</v>
      </c>
      <c r="U49">
        <f t="shared" si="7"/>
        <v>0.01245004</v>
      </c>
    </row>
    <row r="50" spans="1:21">
      <c r="A50" s="4"/>
      <c r="B50" s="4">
        <v>44361.5</v>
      </c>
      <c r="C50">
        <v>18.358595</v>
      </c>
      <c r="D50">
        <v>19.083254</v>
      </c>
      <c r="H50">
        <f t="shared" si="4"/>
        <v>-0.724658999999999</v>
      </c>
      <c r="I50">
        <f t="shared" si="5"/>
        <v>0.525130666280999</v>
      </c>
      <c r="R50">
        <v>18.358595</v>
      </c>
      <c r="S50">
        <v>19.083254</v>
      </c>
      <c r="T50">
        <f t="shared" si="6"/>
        <v>0.00724658999999999</v>
      </c>
      <c r="U50">
        <f t="shared" si="7"/>
        <v>0.00724658999999999</v>
      </c>
    </row>
    <row r="51" spans="1:21">
      <c r="A51" s="4"/>
      <c r="B51" s="4">
        <v>44361.5104166667</v>
      </c>
      <c r="C51">
        <v>19.682817</v>
      </c>
      <c r="D51">
        <v>19.929901</v>
      </c>
      <c r="H51">
        <f t="shared" si="4"/>
        <v>-0.247084000000001</v>
      </c>
      <c r="I51">
        <f t="shared" si="5"/>
        <v>0.0610505030560005</v>
      </c>
      <c r="R51">
        <v>19.682817</v>
      </c>
      <c r="S51">
        <v>19.929901</v>
      </c>
      <c r="T51">
        <f t="shared" si="6"/>
        <v>0.00247084000000001</v>
      </c>
      <c r="U51">
        <f t="shared" si="7"/>
        <v>0.00247084000000001</v>
      </c>
    </row>
    <row r="52" spans="1:21">
      <c r="A52" s="4"/>
      <c r="B52" s="4">
        <v>44361.5208333333</v>
      </c>
      <c r="C52">
        <v>19.282236</v>
      </c>
      <c r="D52">
        <v>20.723635</v>
      </c>
      <c r="H52">
        <f t="shared" si="4"/>
        <v>-1.441399</v>
      </c>
      <c r="I52">
        <f t="shared" si="5"/>
        <v>2.077631077201</v>
      </c>
      <c r="R52">
        <v>19.282236</v>
      </c>
      <c r="S52">
        <v>20.723635</v>
      </c>
      <c r="T52">
        <f t="shared" si="6"/>
        <v>0.01441399</v>
      </c>
      <c r="U52">
        <f t="shared" si="7"/>
        <v>0.01441399</v>
      </c>
    </row>
    <row r="53" spans="1:21">
      <c r="A53" s="4"/>
      <c r="B53" s="4">
        <v>44361.53125</v>
      </c>
      <c r="C53">
        <v>19.758213</v>
      </c>
      <c r="D53">
        <v>21.454828</v>
      </c>
      <c r="H53">
        <f t="shared" si="4"/>
        <v>-1.696615</v>
      </c>
      <c r="I53">
        <f t="shared" si="5"/>
        <v>2.87850245822499</v>
      </c>
      <c r="R53">
        <v>19.758213</v>
      </c>
      <c r="S53">
        <v>21.454828</v>
      </c>
      <c r="T53">
        <f t="shared" si="6"/>
        <v>0.01696615</v>
      </c>
      <c r="U53">
        <f t="shared" si="7"/>
        <v>0.01696615</v>
      </c>
    </row>
    <row r="54" spans="1:21">
      <c r="A54" s="4"/>
      <c r="B54" s="4">
        <v>44361.5416666667</v>
      </c>
      <c r="C54">
        <v>21.147829</v>
      </c>
      <c r="D54">
        <v>22.115793</v>
      </c>
      <c r="H54">
        <f t="shared" si="4"/>
        <v>-0.967963999999998</v>
      </c>
      <c r="I54">
        <f t="shared" si="5"/>
        <v>0.936954305295997</v>
      </c>
      <c r="R54">
        <v>21.147829</v>
      </c>
      <c r="S54">
        <v>22.115793</v>
      </c>
      <c r="T54">
        <f t="shared" si="6"/>
        <v>0.00967963999999998</v>
      </c>
      <c r="U54">
        <f t="shared" si="7"/>
        <v>0.00967963999999998</v>
      </c>
    </row>
    <row r="55" ht="14" customHeight="1" spans="1:21">
      <c r="A55" s="4"/>
      <c r="B55" s="4">
        <v>44361.5520833333</v>
      </c>
      <c r="C55">
        <v>21.678576</v>
      </c>
      <c r="D55">
        <v>22.697865</v>
      </c>
      <c r="H55">
        <f t="shared" si="4"/>
        <v>-1.019289</v>
      </c>
      <c r="I55">
        <f t="shared" si="5"/>
        <v>1.038950065521</v>
      </c>
      <c r="R55">
        <v>21.678576</v>
      </c>
      <c r="S55">
        <v>22.697865</v>
      </c>
      <c r="T55">
        <f t="shared" si="6"/>
        <v>0.01019289</v>
      </c>
      <c r="U55">
        <f t="shared" si="7"/>
        <v>0.01019289</v>
      </c>
    </row>
    <row r="56" spans="1:21">
      <c r="A56" s="4"/>
      <c r="B56" s="4">
        <v>44361.5625</v>
      </c>
      <c r="C56">
        <v>23.458244</v>
      </c>
      <c r="D56">
        <v>23.250111</v>
      </c>
      <c r="H56">
        <f t="shared" si="4"/>
        <v>0.208133</v>
      </c>
      <c r="I56">
        <f t="shared" si="5"/>
        <v>0.0433193456890001</v>
      </c>
      <c r="R56">
        <v>23.458244</v>
      </c>
      <c r="S56">
        <v>23.250111</v>
      </c>
      <c r="T56">
        <f t="shared" si="6"/>
        <v>0.00208133</v>
      </c>
      <c r="U56">
        <f t="shared" si="7"/>
        <v>0.00208133</v>
      </c>
    </row>
    <row r="57" ht="12" customHeight="1" spans="1:21">
      <c r="A57" s="4"/>
      <c r="B57" s="4">
        <v>44361.5729166667</v>
      </c>
      <c r="C57">
        <v>23.059263</v>
      </c>
      <c r="D57">
        <v>23.812937</v>
      </c>
      <c r="H57">
        <f t="shared" si="4"/>
        <v>-0.753674</v>
      </c>
      <c r="I57">
        <f t="shared" si="5"/>
        <v>0.568024498276</v>
      </c>
      <c r="R57">
        <v>23.059263</v>
      </c>
      <c r="S57">
        <v>23.812937</v>
      </c>
      <c r="T57">
        <f t="shared" si="6"/>
        <v>0.00753674</v>
      </c>
      <c r="U57">
        <f t="shared" si="7"/>
        <v>0.00753674</v>
      </c>
    </row>
    <row r="58" spans="1:21">
      <c r="A58" s="4"/>
      <c r="B58" s="4">
        <v>44361.5833333333</v>
      </c>
      <c r="C58">
        <v>23.27235</v>
      </c>
      <c r="D58">
        <v>24.366144</v>
      </c>
      <c r="H58">
        <f t="shared" si="4"/>
        <v>-1.093794</v>
      </c>
      <c r="I58">
        <f t="shared" si="5"/>
        <v>1.196385314436</v>
      </c>
      <c r="R58">
        <v>23.27235</v>
      </c>
      <c r="S58">
        <v>24.366144</v>
      </c>
      <c r="T58">
        <f t="shared" ref="T58:T97" si="8">ABS(R58-S58)/$E$2</f>
        <v>0.01093794</v>
      </c>
      <c r="U58">
        <f t="shared" ref="U58:U97" si="9">IF(R58&lt;$E$2*0.03,"",T58)</f>
        <v>0.01093794</v>
      </c>
    </row>
    <row r="59" spans="1:21">
      <c r="A59" s="4"/>
      <c r="B59" s="4">
        <v>44361.59375</v>
      </c>
      <c r="C59">
        <v>23.251299</v>
      </c>
      <c r="D59">
        <v>24.890491</v>
      </c>
      <c r="H59">
        <f t="shared" si="4"/>
        <v>-1.639192</v>
      </c>
      <c r="I59">
        <f t="shared" si="5"/>
        <v>2.686950412864</v>
      </c>
      <c r="R59">
        <v>23.251299</v>
      </c>
      <c r="S59">
        <v>24.890491</v>
      </c>
      <c r="T59">
        <f t="shared" si="8"/>
        <v>0.01639192</v>
      </c>
      <c r="U59">
        <f t="shared" si="9"/>
        <v>0.01639192</v>
      </c>
    </row>
    <row r="60" spans="1:21">
      <c r="A60" s="4"/>
      <c r="B60" s="4">
        <v>44361.6041666667</v>
      </c>
      <c r="C60">
        <v>24.802427</v>
      </c>
      <c r="D60">
        <v>25.364801</v>
      </c>
      <c r="H60">
        <f t="shared" ref="H60:H97" si="10">C60-D60</f>
        <v>-0.562373999999998</v>
      </c>
      <c r="I60">
        <f t="shared" ref="I60:I97" si="11">H60*H60</f>
        <v>0.316264515875998</v>
      </c>
      <c r="R60">
        <v>24.802427</v>
      </c>
      <c r="S60">
        <v>25.364801</v>
      </c>
      <c r="T60">
        <f t="shared" si="8"/>
        <v>0.00562373999999998</v>
      </c>
      <c r="U60">
        <f t="shared" si="9"/>
        <v>0.00562373999999998</v>
      </c>
    </row>
    <row r="61" spans="1:21">
      <c r="A61" s="4"/>
      <c r="B61" s="4">
        <v>44361.6145833333</v>
      </c>
      <c r="C61">
        <v>24.844379</v>
      </c>
      <c r="D61">
        <v>25.768887</v>
      </c>
      <c r="H61">
        <f t="shared" si="10"/>
        <v>-0.924507999999999</v>
      </c>
      <c r="I61">
        <f t="shared" si="11"/>
        <v>0.854715042063999</v>
      </c>
      <c r="R61">
        <v>24.844379</v>
      </c>
      <c r="S61">
        <v>25.768887</v>
      </c>
      <c r="T61">
        <f t="shared" si="8"/>
        <v>0.00924507999999999</v>
      </c>
      <c r="U61">
        <f t="shared" si="9"/>
        <v>0.00924507999999999</v>
      </c>
    </row>
    <row r="62" spans="1:21">
      <c r="A62" s="4"/>
      <c r="B62" s="4">
        <v>44361.625</v>
      </c>
      <c r="C62">
        <v>25.573544</v>
      </c>
      <c r="D62">
        <v>26.08349</v>
      </c>
      <c r="H62">
        <f t="shared" si="10"/>
        <v>-0.509946000000003</v>
      </c>
      <c r="I62">
        <f t="shared" si="11"/>
        <v>0.260044922916003</v>
      </c>
      <c r="R62">
        <v>25.573544</v>
      </c>
      <c r="S62">
        <v>26.08349</v>
      </c>
      <c r="T62">
        <f t="shared" si="8"/>
        <v>0.00509946000000003</v>
      </c>
      <c r="U62">
        <f t="shared" si="9"/>
        <v>0.00509946000000003</v>
      </c>
    </row>
    <row r="63" spans="1:21">
      <c r="A63" s="4"/>
      <c r="B63" s="4">
        <v>44361.6354166667</v>
      </c>
      <c r="C63">
        <v>25.460232</v>
      </c>
      <c r="D63">
        <v>26.286493</v>
      </c>
      <c r="H63">
        <f t="shared" si="10"/>
        <v>-0.826260999999999</v>
      </c>
      <c r="I63">
        <f t="shared" si="11"/>
        <v>0.682707240120998</v>
      </c>
      <c r="R63">
        <v>25.460232</v>
      </c>
      <c r="S63">
        <v>26.286493</v>
      </c>
      <c r="T63">
        <f t="shared" si="8"/>
        <v>0.00826260999999999</v>
      </c>
      <c r="U63">
        <f t="shared" si="9"/>
        <v>0.00826260999999999</v>
      </c>
    </row>
    <row r="64" spans="1:21">
      <c r="A64" s="4"/>
      <c r="B64" s="4">
        <v>44361.6458333333</v>
      </c>
      <c r="C64">
        <v>25.22831</v>
      </c>
      <c r="D64">
        <v>26.358654</v>
      </c>
      <c r="H64">
        <f t="shared" si="10"/>
        <v>-1.130344</v>
      </c>
      <c r="I64">
        <f t="shared" si="11"/>
        <v>1.277677558336</v>
      </c>
      <c r="R64">
        <v>25.22831</v>
      </c>
      <c r="S64">
        <v>26.358654</v>
      </c>
      <c r="T64">
        <f t="shared" si="8"/>
        <v>0.01130344</v>
      </c>
      <c r="U64">
        <f t="shared" si="9"/>
        <v>0.01130344</v>
      </c>
    </row>
    <row r="65" spans="1:21">
      <c r="A65" s="4"/>
      <c r="B65" s="4">
        <v>44361.65625</v>
      </c>
      <c r="C65">
        <v>25.501255</v>
      </c>
      <c r="D65">
        <v>25.991131</v>
      </c>
      <c r="H65">
        <f t="shared" si="10"/>
        <v>-0.489875999999999</v>
      </c>
      <c r="I65">
        <f t="shared" si="11"/>
        <v>0.239978495375999</v>
      </c>
      <c r="R65">
        <v>25.501255</v>
      </c>
      <c r="S65">
        <v>25.991131</v>
      </c>
      <c r="T65">
        <f t="shared" si="8"/>
        <v>0.00489875999999999</v>
      </c>
      <c r="U65">
        <f t="shared" si="9"/>
        <v>0.00489875999999999</v>
      </c>
    </row>
    <row r="66" spans="1:21">
      <c r="A66" s="4"/>
      <c r="B66" s="4">
        <v>44361.6666666667</v>
      </c>
      <c r="C66">
        <v>25.842052</v>
      </c>
      <c r="D66">
        <v>24.968418</v>
      </c>
      <c r="H66">
        <f t="shared" si="10"/>
        <v>0.873633999999999</v>
      </c>
      <c r="I66">
        <f t="shared" si="11"/>
        <v>0.763236365955999</v>
      </c>
      <c r="R66">
        <v>25.842052</v>
      </c>
      <c r="S66">
        <v>24.968418</v>
      </c>
      <c r="T66">
        <f t="shared" si="8"/>
        <v>0.00873633999999999</v>
      </c>
      <c r="U66">
        <f t="shared" si="9"/>
        <v>0.00873633999999999</v>
      </c>
    </row>
    <row r="67" spans="1:21">
      <c r="A67" s="4"/>
      <c r="B67" s="4">
        <v>44361.6770833333</v>
      </c>
      <c r="C67">
        <v>22.696827</v>
      </c>
      <c r="D67">
        <v>23.409817</v>
      </c>
      <c r="H67">
        <f t="shared" si="10"/>
        <v>-0.712990000000001</v>
      </c>
      <c r="I67">
        <f t="shared" si="11"/>
        <v>0.508354740100002</v>
      </c>
      <c r="R67">
        <v>22.696827</v>
      </c>
      <c r="S67">
        <v>23.409817</v>
      </c>
      <c r="T67">
        <f t="shared" si="8"/>
        <v>0.00712990000000001</v>
      </c>
      <c r="U67">
        <f t="shared" si="9"/>
        <v>0.00712990000000001</v>
      </c>
    </row>
    <row r="68" spans="1:21">
      <c r="A68" s="4"/>
      <c r="B68" s="4">
        <v>44361.6875</v>
      </c>
      <c r="C68">
        <v>23.166964</v>
      </c>
      <c r="D68">
        <v>21.435589</v>
      </c>
      <c r="H68">
        <f t="shared" si="10"/>
        <v>1.731375</v>
      </c>
      <c r="I68">
        <f t="shared" si="11"/>
        <v>2.997659390625</v>
      </c>
      <c r="R68">
        <v>23.166964</v>
      </c>
      <c r="S68">
        <v>21.435589</v>
      </c>
      <c r="T68">
        <f t="shared" si="8"/>
        <v>0.01731375</v>
      </c>
      <c r="U68">
        <f t="shared" si="9"/>
        <v>0.01731375</v>
      </c>
    </row>
    <row r="69" spans="1:21">
      <c r="A69" s="4"/>
      <c r="B69" s="4">
        <v>44361.6979166667</v>
      </c>
      <c r="C69">
        <v>20.968792</v>
      </c>
      <c r="D69">
        <v>19.163109</v>
      </c>
      <c r="H69">
        <f t="shared" si="10"/>
        <v>1.805683</v>
      </c>
      <c r="I69">
        <f t="shared" si="11"/>
        <v>3.26049109648901</v>
      </c>
      <c r="R69">
        <v>20.968792</v>
      </c>
      <c r="S69">
        <v>19.163109</v>
      </c>
      <c r="T69">
        <f t="shared" si="8"/>
        <v>0.01805683</v>
      </c>
      <c r="U69">
        <f t="shared" si="9"/>
        <v>0.01805683</v>
      </c>
    </row>
    <row r="70" spans="1:21">
      <c r="A70" s="4"/>
      <c r="B70" s="4">
        <v>44361.7083333333</v>
      </c>
      <c r="C70">
        <v>17.632334</v>
      </c>
      <c r="D70">
        <v>16.7136</v>
      </c>
      <c r="H70">
        <f t="shared" si="10"/>
        <v>0.918734000000001</v>
      </c>
      <c r="I70">
        <f t="shared" si="11"/>
        <v>0.844072162756001</v>
      </c>
      <c r="R70">
        <v>17.632334</v>
      </c>
      <c r="S70">
        <v>16.7136</v>
      </c>
      <c r="T70">
        <f t="shared" si="8"/>
        <v>0.00918734000000001</v>
      </c>
      <c r="U70">
        <f t="shared" si="9"/>
        <v>0.00918734000000001</v>
      </c>
    </row>
    <row r="71" spans="1:21">
      <c r="A71" s="4"/>
      <c r="B71" s="4">
        <v>44361.71875</v>
      </c>
      <c r="C71">
        <v>16.84222</v>
      </c>
      <c r="D71">
        <v>14.206369</v>
      </c>
      <c r="H71">
        <f t="shared" si="10"/>
        <v>2.635851</v>
      </c>
      <c r="I71">
        <f t="shared" si="11"/>
        <v>6.947710494201</v>
      </c>
      <c r="R71">
        <v>16.84222</v>
      </c>
      <c r="S71">
        <v>14.206369</v>
      </c>
      <c r="T71">
        <f t="shared" si="8"/>
        <v>0.02635851</v>
      </c>
      <c r="U71">
        <f t="shared" si="9"/>
        <v>0.02635851</v>
      </c>
    </row>
    <row r="72" spans="1:21">
      <c r="A72" s="4"/>
      <c r="B72" s="4">
        <v>44361.7291666667</v>
      </c>
      <c r="C72">
        <v>13.701674</v>
      </c>
      <c r="D72">
        <v>11.760709</v>
      </c>
      <c r="H72">
        <f t="shared" si="10"/>
        <v>1.940965</v>
      </c>
      <c r="I72">
        <f t="shared" si="11"/>
        <v>3.767345131225</v>
      </c>
      <c r="R72">
        <v>13.701674</v>
      </c>
      <c r="S72">
        <v>11.760709</v>
      </c>
      <c r="T72">
        <f t="shared" si="8"/>
        <v>0.01940965</v>
      </c>
      <c r="U72">
        <f t="shared" si="9"/>
        <v>0.01940965</v>
      </c>
    </row>
    <row r="73" spans="1:21">
      <c r="A73" s="4"/>
      <c r="B73" s="4">
        <v>44361.7395833333</v>
      </c>
      <c r="C73">
        <v>11.439572</v>
      </c>
      <c r="D73">
        <v>9.494965</v>
      </c>
      <c r="H73">
        <f t="shared" si="10"/>
        <v>1.944607</v>
      </c>
      <c r="I73">
        <f t="shared" si="11"/>
        <v>3.781496384449</v>
      </c>
      <c r="R73">
        <v>11.439572</v>
      </c>
      <c r="S73">
        <v>9.494965</v>
      </c>
      <c r="T73">
        <f t="shared" si="8"/>
        <v>0.01944607</v>
      </c>
      <c r="U73">
        <f t="shared" si="9"/>
        <v>0.01944607</v>
      </c>
    </row>
    <row r="74" spans="1:21">
      <c r="A74" s="4"/>
      <c r="B74" s="4">
        <v>44361.75</v>
      </c>
      <c r="C74">
        <v>9.637115</v>
      </c>
      <c r="D74">
        <v>7.529395</v>
      </c>
      <c r="H74">
        <f t="shared" si="10"/>
        <v>2.10772</v>
      </c>
      <c r="I74">
        <f t="shared" si="11"/>
        <v>4.4424835984</v>
      </c>
      <c r="R74">
        <v>9.637115</v>
      </c>
      <c r="S74">
        <v>7.529395</v>
      </c>
      <c r="T74">
        <f t="shared" si="8"/>
        <v>0.0210772</v>
      </c>
      <c r="U74">
        <f t="shared" si="9"/>
        <v>0.0210772</v>
      </c>
    </row>
    <row r="75" spans="1:21">
      <c r="A75" s="4"/>
      <c r="B75" s="4">
        <v>44361.7604166667</v>
      </c>
      <c r="C75">
        <v>7.659983</v>
      </c>
      <c r="D75">
        <v>5.876507</v>
      </c>
      <c r="H75">
        <f t="shared" si="10"/>
        <v>1.783476</v>
      </c>
      <c r="I75">
        <f t="shared" si="11"/>
        <v>3.180786642576</v>
      </c>
      <c r="R75">
        <v>7.659983</v>
      </c>
      <c r="S75">
        <v>5.876507</v>
      </c>
      <c r="T75">
        <f t="shared" si="8"/>
        <v>0.01783476</v>
      </c>
      <c r="U75">
        <f t="shared" si="9"/>
        <v>0.01783476</v>
      </c>
    </row>
    <row r="76" spans="1:21">
      <c r="A76" s="4"/>
      <c r="B76" s="4">
        <v>44361.7708333333</v>
      </c>
      <c r="C76">
        <v>5.984618</v>
      </c>
      <c r="D76">
        <v>4.078342</v>
      </c>
      <c r="H76">
        <f t="shared" si="10"/>
        <v>1.906276</v>
      </c>
      <c r="I76">
        <f t="shared" si="11"/>
        <v>3.633888188176</v>
      </c>
      <c r="R76">
        <v>5.984618</v>
      </c>
      <c r="S76">
        <v>4.078342</v>
      </c>
      <c r="T76">
        <f t="shared" si="8"/>
        <v>0.01906276</v>
      </c>
      <c r="U76">
        <f t="shared" si="9"/>
        <v>0.01906276</v>
      </c>
    </row>
    <row r="77" spans="1:21">
      <c r="A77" s="4"/>
      <c r="B77" s="4">
        <v>44361.78125</v>
      </c>
      <c r="C77">
        <v>4.087901</v>
      </c>
      <c r="D77">
        <v>2.316737</v>
      </c>
      <c r="H77">
        <f t="shared" si="10"/>
        <v>1.771164</v>
      </c>
      <c r="I77">
        <f t="shared" si="11"/>
        <v>3.137021914896</v>
      </c>
      <c r="R77">
        <v>4.087901</v>
      </c>
      <c r="S77">
        <v>2.316737</v>
      </c>
      <c r="T77">
        <f t="shared" si="8"/>
        <v>0.01771164</v>
      </c>
      <c r="U77">
        <f t="shared" si="9"/>
        <v>0.01771164</v>
      </c>
    </row>
    <row r="78" spans="1:21">
      <c r="A78" s="4"/>
      <c r="B78" s="4">
        <v>44361.7916666667</v>
      </c>
      <c r="C78">
        <v>2.344751</v>
      </c>
      <c r="D78">
        <v>0</v>
      </c>
      <c r="H78">
        <f t="shared" si="10"/>
        <v>2.344751</v>
      </c>
      <c r="I78">
        <f t="shared" si="11"/>
        <v>5.497857252001</v>
      </c>
      <c r="R78">
        <v>2.344751</v>
      </c>
      <c r="S78">
        <v>0</v>
      </c>
      <c r="T78">
        <f t="shared" si="8"/>
        <v>0.02344751</v>
      </c>
      <c r="U78" t="str">
        <f t="shared" si="9"/>
        <v/>
      </c>
    </row>
    <row r="79" spans="1:21">
      <c r="A79" s="4"/>
      <c r="B79" s="4">
        <v>44361.8020833333</v>
      </c>
      <c r="C79">
        <v>0.014986</v>
      </c>
      <c r="D79">
        <v>0</v>
      </c>
      <c r="H79">
        <f t="shared" si="10"/>
        <v>0.014986</v>
      </c>
      <c r="I79">
        <f t="shared" si="11"/>
        <v>0.000224580196</v>
      </c>
      <c r="R79">
        <v>0.014986</v>
      </c>
      <c r="S79">
        <v>0</v>
      </c>
      <c r="T79">
        <f t="shared" si="8"/>
        <v>0.00014986</v>
      </c>
      <c r="U79" t="str">
        <f t="shared" si="9"/>
        <v/>
      </c>
    </row>
    <row r="80" spans="1:21">
      <c r="A80" s="4"/>
      <c r="B80" s="4">
        <v>44361.8125</v>
      </c>
      <c r="C80">
        <v>0</v>
      </c>
      <c r="D80">
        <v>0</v>
      </c>
      <c r="H80">
        <f t="shared" si="10"/>
        <v>0</v>
      </c>
      <c r="I80">
        <f t="shared" si="11"/>
        <v>0</v>
      </c>
      <c r="R80">
        <v>0</v>
      </c>
      <c r="S80">
        <v>0</v>
      </c>
      <c r="T80">
        <f t="shared" si="8"/>
        <v>0</v>
      </c>
      <c r="U80" t="str">
        <f t="shared" si="9"/>
        <v/>
      </c>
    </row>
    <row r="81" spans="1:21">
      <c r="A81" s="4"/>
      <c r="B81" s="4">
        <v>44361.8229166667</v>
      </c>
      <c r="C81">
        <v>0</v>
      </c>
      <c r="D81">
        <v>0</v>
      </c>
      <c r="H81">
        <f t="shared" si="10"/>
        <v>0</v>
      </c>
      <c r="I81">
        <f t="shared" si="11"/>
        <v>0</v>
      </c>
      <c r="R81">
        <v>0</v>
      </c>
      <c r="S81">
        <v>0</v>
      </c>
      <c r="T81">
        <f t="shared" si="8"/>
        <v>0</v>
      </c>
      <c r="U81" t="str">
        <f t="shared" si="9"/>
        <v/>
      </c>
    </row>
    <row r="82" spans="1:21">
      <c r="A82" s="4"/>
      <c r="B82" s="4">
        <v>44361.8333333333</v>
      </c>
      <c r="C82">
        <v>0</v>
      </c>
      <c r="D82">
        <v>0</v>
      </c>
      <c r="H82">
        <f t="shared" si="10"/>
        <v>0</v>
      </c>
      <c r="I82">
        <f t="shared" si="11"/>
        <v>0</v>
      </c>
      <c r="R82">
        <v>0</v>
      </c>
      <c r="S82">
        <v>0</v>
      </c>
      <c r="T82">
        <f t="shared" si="8"/>
        <v>0</v>
      </c>
      <c r="U82" t="str">
        <f t="shared" si="9"/>
        <v/>
      </c>
    </row>
    <row r="83" spans="1:21">
      <c r="A83" s="4"/>
      <c r="B83" s="4">
        <v>44361.84375</v>
      </c>
      <c r="C83">
        <v>0</v>
      </c>
      <c r="D83">
        <v>0</v>
      </c>
      <c r="H83">
        <f t="shared" si="10"/>
        <v>0</v>
      </c>
      <c r="I83">
        <f t="shared" si="11"/>
        <v>0</v>
      </c>
      <c r="R83">
        <v>0</v>
      </c>
      <c r="S83">
        <v>0</v>
      </c>
      <c r="T83">
        <f t="shared" si="8"/>
        <v>0</v>
      </c>
      <c r="U83" t="str">
        <f t="shared" si="9"/>
        <v/>
      </c>
    </row>
    <row r="84" spans="1:21">
      <c r="A84" s="4"/>
      <c r="B84" s="4">
        <v>44361.8541666667</v>
      </c>
      <c r="C84">
        <v>0</v>
      </c>
      <c r="D84">
        <v>0</v>
      </c>
      <c r="H84">
        <f t="shared" si="10"/>
        <v>0</v>
      </c>
      <c r="I84">
        <f t="shared" si="11"/>
        <v>0</v>
      </c>
      <c r="R84">
        <v>0</v>
      </c>
      <c r="S84">
        <v>0</v>
      </c>
      <c r="T84">
        <f t="shared" si="8"/>
        <v>0</v>
      </c>
      <c r="U84" t="str">
        <f t="shared" si="9"/>
        <v/>
      </c>
    </row>
    <row r="85" spans="1:21">
      <c r="A85" s="4"/>
      <c r="B85" s="4">
        <v>44361.8645833333</v>
      </c>
      <c r="C85">
        <v>0</v>
      </c>
      <c r="D85">
        <v>0</v>
      </c>
      <c r="H85">
        <f t="shared" si="10"/>
        <v>0</v>
      </c>
      <c r="I85">
        <f t="shared" si="11"/>
        <v>0</v>
      </c>
      <c r="R85">
        <v>0</v>
      </c>
      <c r="S85">
        <v>0</v>
      </c>
      <c r="T85">
        <f t="shared" si="8"/>
        <v>0</v>
      </c>
      <c r="U85" t="str">
        <f t="shared" si="9"/>
        <v/>
      </c>
    </row>
    <row r="86" spans="1:21">
      <c r="A86" s="4"/>
      <c r="B86" s="4">
        <v>44361.875</v>
      </c>
      <c r="C86">
        <v>0</v>
      </c>
      <c r="D86">
        <v>0</v>
      </c>
      <c r="H86">
        <f t="shared" si="10"/>
        <v>0</v>
      </c>
      <c r="I86">
        <f t="shared" si="11"/>
        <v>0</v>
      </c>
      <c r="R86">
        <v>0</v>
      </c>
      <c r="S86">
        <v>0</v>
      </c>
      <c r="T86">
        <f t="shared" si="8"/>
        <v>0</v>
      </c>
      <c r="U86" t="str">
        <f t="shared" si="9"/>
        <v/>
      </c>
    </row>
    <row r="87" spans="1:21">
      <c r="A87" s="4"/>
      <c r="B87" s="4">
        <v>44361.8854166667</v>
      </c>
      <c r="C87">
        <v>0</v>
      </c>
      <c r="D87">
        <v>0</v>
      </c>
      <c r="H87">
        <f t="shared" si="10"/>
        <v>0</v>
      </c>
      <c r="I87">
        <f t="shared" si="11"/>
        <v>0</v>
      </c>
      <c r="R87">
        <v>0</v>
      </c>
      <c r="S87">
        <v>0</v>
      </c>
      <c r="T87">
        <f t="shared" si="8"/>
        <v>0</v>
      </c>
      <c r="U87" t="str">
        <f t="shared" si="9"/>
        <v/>
      </c>
    </row>
    <row r="88" spans="1:21">
      <c r="A88" s="4"/>
      <c r="B88" s="4">
        <v>44361.8958333333</v>
      </c>
      <c r="C88">
        <v>0</v>
      </c>
      <c r="D88">
        <v>0</v>
      </c>
      <c r="H88">
        <f t="shared" si="10"/>
        <v>0</v>
      </c>
      <c r="I88">
        <f t="shared" si="11"/>
        <v>0</v>
      </c>
      <c r="R88">
        <v>0</v>
      </c>
      <c r="S88">
        <v>0</v>
      </c>
      <c r="T88">
        <f t="shared" si="8"/>
        <v>0</v>
      </c>
      <c r="U88" t="str">
        <f t="shared" si="9"/>
        <v/>
      </c>
    </row>
    <row r="89" spans="1:21">
      <c r="A89" s="4"/>
      <c r="B89" s="4">
        <v>44361.90625</v>
      </c>
      <c r="C89">
        <v>0</v>
      </c>
      <c r="D89">
        <v>0</v>
      </c>
      <c r="H89">
        <f t="shared" si="10"/>
        <v>0</v>
      </c>
      <c r="I89">
        <f t="shared" si="11"/>
        <v>0</v>
      </c>
      <c r="R89">
        <v>0</v>
      </c>
      <c r="S89">
        <v>0</v>
      </c>
      <c r="T89">
        <f t="shared" si="8"/>
        <v>0</v>
      </c>
      <c r="U89" t="str">
        <f t="shared" si="9"/>
        <v/>
      </c>
    </row>
    <row r="90" spans="1:21">
      <c r="A90" s="4"/>
      <c r="B90" s="4">
        <v>44361.9166666667</v>
      </c>
      <c r="C90">
        <v>0</v>
      </c>
      <c r="D90">
        <v>0</v>
      </c>
      <c r="H90">
        <f t="shared" si="10"/>
        <v>0</v>
      </c>
      <c r="I90">
        <f t="shared" si="11"/>
        <v>0</v>
      </c>
      <c r="R90">
        <v>0</v>
      </c>
      <c r="S90">
        <v>0</v>
      </c>
      <c r="T90">
        <f t="shared" si="8"/>
        <v>0</v>
      </c>
      <c r="U90" t="str">
        <f t="shared" si="9"/>
        <v/>
      </c>
    </row>
    <row r="91" spans="1:21">
      <c r="A91" s="4"/>
      <c r="B91" s="4">
        <v>44361.9270833333</v>
      </c>
      <c r="C91">
        <v>0</v>
      </c>
      <c r="D91">
        <v>0</v>
      </c>
      <c r="H91">
        <f t="shared" si="10"/>
        <v>0</v>
      </c>
      <c r="I91">
        <f t="shared" si="11"/>
        <v>0</v>
      </c>
      <c r="R91">
        <v>0</v>
      </c>
      <c r="S91">
        <v>0</v>
      </c>
      <c r="T91">
        <f t="shared" si="8"/>
        <v>0</v>
      </c>
      <c r="U91" t="str">
        <f t="shared" si="9"/>
        <v/>
      </c>
    </row>
    <row r="92" spans="1:21">
      <c r="A92" s="4"/>
      <c r="B92" s="4">
        <v>44361.9375</v>
      </c>
      <c r="C92">
        <v>0</v>
      </c>
      <c r="D92">
        <v>0</v>
      </c>
      <c r="H92">
        <f t="shared" si="10"/>
        <v>0</v>
      </c>
      <c r="I92">
        <f t="shared" si="11"/>
        <v>0</v>
      </c>
      <c r="R92">
        <v>0</v>
      </c>
      <c r="S92">
        <v>0</v>
      </c>
      <c r="T92">
        <f t="shared" si="8"/>
        <v>0</v>
      </c>
      <c r="U92" t="str">
        <f t="shared" si="9"/>
        <v/>
      </c>
    </row>
    <row r="93" spans="1:21">
      <c r="A93" s="4"/>
      <c r="B93" s="4">
        <v>44361.9479166667</v>
      </c>
      <c r="C93">
        <v>0</v>
      </c>
      <c r="D93">
        <v>0</v>
      </c>
      <c r="H93">
        <f t="shared" si="10"/>
        <v>0</v>
      </c>
      <c r="I93">
        <f t="shared" si="11"/>
        <v>0</v>
      </c>
      <c r="R93">
        <v>0</v>
      </c>
      <c r="S93">
        <v>0</v>
      </c>
      <c r="T93">
        <f t="shared" si="8"/>
        <v>0</v>
      </c>
      <c r="U93" t="str">
        <f t="shared" si="9"/>
        <v/>
      </c>
    </row>
    <row r="94" spans="1:21">
      <c r="A94" s="4"/>
      <c r="B94" s="4">
        <v>44361.9583333333</v>
      </c>
      <c r="C94">
        <v>0</v>
      </c>
      <c r="D94">
        <v>0</v>
      </c>
      <c r="H94">
        <f t="shared" si="10"/>
        <v>0</v>
      </c>
      <c r="I94">
        <f t="shared" si="11"/>
        <v>0</v>
      </c>
      <c r="R94">
        <v>0</v>
      </c>
      <c r="S94">
        <v>0</v>
      </c>
      <c r="T94">
        <f t="shared" si="8"/>
        <v>0</v>
      </c>
      <c r="U94" t="str">
        <f t="shared" si="9"/>
        <v/>
      </c>
    </row>
    <row r="95" spans="1:21">
      <c r="A95" s="4"/>
      <c r="B95" s="4">
        <v>44361.96875</v>
      </c>
      <c r="C95">
        <v>0</v>
      </c>
      <c r="D95">
        <v>0</v>
      </c>
      <c r="H95">
        <f t="shared" si="10"/>
        <v>0</v>
      </c>
      <c r="I95">
        <f t="shared" si="11"/>
        <v>0</v>
      </c>
      <c r="R95">
        <v>0</v>
      </c>
      <c r="S95">
        <v>0</v>
      </c>
      <c r="T95">
        <f t="shared" si="8"/>
        <v>0</v>
      </c>
      <c r="U95" t="str">
        <f t="shared" si="9"/>
        <v/>
      </c>
    </row>
    <row r="96" spans="1:21">
      <c r="A96" s="4"/>
      <c r="B96" s="4">
        <v>44361.9791666667</v>
      </c>
      <c r="C96">
        <v>0</v>
      </c>
      <c r="D96">
        <v>0</v>
      </c>
      <c r="H96">
        <f t="shared" si="10"/>
        <v>0</v>
      </c>
      <c r="I96">
        <f t="shared" si="11"/>
        <v>0</v>
      </c>
      <c r="R96">
        <v>0</v>
      </c>
      <c r="S96">
        <v>0</v>
      </c>
      <c r="T96">
        <f t="shared" si="8"/>
        <v>0</v>
      </c>
      <c r="U96" t="str">
        <f t="shared" si="9"/>
        <v/>
      </c>
    </row>
    <row r="97" spans="1:21">
      <c r="A97" s="4"/>
      <c r="B97" s="4">
        <v>44361.9895833333</v>
      </c>
      <c r="C97">
        <v>0</v>
      </c>
      <c r="D97">
        <v>0</v>
      </c>
      <c r="H97">
        <f t="shared" si="10"/>
        <v>0</v>
      </c>
      <c r="I97">
        <f t="shared" si="11"/>
        <v>0</v>
      </c>
      <c r="R97">
        <v>0</v>
      </c>
      <c r="S97">
        <v>0</v>
      </c>
      <c r="T97">
        <f t="shared" si="8"/>
        <v>0</v>
      </c>
      <c r="U97" t="str">
        <f t="shared" si="9"/>
        <v/>
      </c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  <row r="150" spans="2:2">
      <c r="B150" s="4"/>
    </row>
    <row r="151" spans="2:2">
      <c r="B151" s="4"/>
    </row>
    <row r="152" spans="2:2">
      <c r="B152" s="4"/>
    </row>
    <row r="153" spans="2:2">
      <c r="B153" s="4"/>
    </row>
    <row r="154" spans="2:2">
      <c r="B154" s="4"/>
    </row>
    <row r="155" spans="2:2">
      <c r="B155" s="4"/>
    </row>
    <row r="156" spans="2:2">
      <c r="B156" s="4"/>
    </row>
    <row r="157" spans="2:2">
      <c r="B157" s="4"/>
    </row>
    <row r="158" spans="2:2">
      <c r="B158" s="4"/>
    </row>
    <row r="159" spans="2:2">
      <c r="B159" s="4"/>
    </row>
    <row r="160" spans="2:2">
      <c r="B160" s="4"/>
    </row>
    <row r="161" spans="2:2">
      <c r="B161" s="4"/>
    </row>
    <row r="162" spans="2:2">
      <c r="B162" s="4"/>
    </row>
    <row r="163" spans="2:2">
      <c r="B163" s="4"/>
    </row>
    <row r="164" spans="2:2">
      <c r="B164" s="4"/>
    </row>
    <row r="165" spans="2:2">
      <c r="B165" s="4"/>
    </row>
    <row r="166" spans="2:2">
      <c r="B166" s="4"/>
    </row>
    <row r="167" spans="2:2">
      <c r="B167" s="4"/>
    </row>
    <row r="168" spans="2:2">
      <c r="B168" s="4"/>
    </row>
    <row r="169" spans="2:2">
      <c r="B169" s="4"/>
    </row>
    <row r="170" spans="2:2">
      <c r="B170" s="4"/>
    </row>
    <row r="171" spans="2:2">
      <c r="B171" s="4"/>
    </row>
    <row r="172" spans="2:2">
      <c r="B172" s="4"/>
    </row>
    <row r="173" spans="2:2">
      <c r="B173" s="4"/>
    </row>
    <row r="174" spans="2:2">
      <c r="B174" s="4"/>
    </row>
    <row r="175" spans="2:2">
      <c r="B175" s="4"/>
    </row>
    <row r="176" spans="2:2">
      <c r="B176" s="4"/>
    </row>
    <row r="177" spans="2:2">
      <c r="B177" s="4"/>
    </row>
    <row r="178" spans="2:2">
      <c r="B178" s="4"/>
    </row>
    <row r="179" spans="2:2">
      <c r="B179" s="4"/>
    </row>
    <row r="180" spans="2:2">
      <c r="B180" s="4"/>
    </row>
    <row r="181" spans="2:2">
      <c r="B181" s="4"/>
    </row>
    <row r="182" spans="2:2">
      <c r="B182" s="4"/>
    </row>
    <row r="183" spans="2:2">
      <c r="B183" s="4"/>
    </row>
    <row r="184" spans="2:2">
      <c r="B184" s="4"/>
    </row>
    <row r="185" spans="2:2">
      <c r="B185" s="4"/>
    </row>
    <row r="186" spans="2:2">
      <c r="B186" s="4"/>
    </row>
    <row r="187" spans="2:2">
      <c r="B187" s="4"/>
    </row>
    <row r="188" spans="2:2">
      <c r="B188" s="4"/>
    </row>
    <row r="189" spans="2:2">
      <c r="B189" s="4"/>
    </row>
    <row r="190" spans="2:2">
      <c r="B190" s="4"/>
    </row>
    <row r="191" spans="2:2">
      <c r="B191" s="4"/>
    </row>
    <row r="192" spans="2:2">
      <c r="B192" s="4"/>
    </row>
    <row r="193" spans="2:2">
      <c r="B193" s="4"/>
    </row>
    <row r="194" spans="2:2">
      <c r="B194" s="4"/>
    </row>
    <row r="195" spans="2:2">
      <c r="B195" s="4"/>
    </row>
    <row r="196" spans="2:2">
      <c r="B196" s="4"/>
    </row>
    <row r="197" spans="2:2">
      <c r="B197" s="4"/>
    </row>
    <row r="198" spans="2:2">
      <c r="B198" s="4"/>
    </row>
    <row r="199" spans="2:2">
      <c r="B199" s="4"/>
    </row>
    <row r="200" spans="2:2">
      <c r="B200" s="4"/>
    </row>
    <row r="201" spans="2:2">
      <c r="B201" s="4"/>
    </row>
    <row r="202" spans="2:2">
      <c r="B202" s="4"/>
    </row>
    <row r="203" spans="2:2">
      <c r="B203" s="4"/>
    </row>
    <row r="204" spans="2:2">
      <c r="B204" s="4"/>
    </row>
    <row r="205" spans="2:2">
      <c r="B205" s="4"/>
    </row>
    <row r="206" spans="2:2">
      <c r="B206" s="4"/>
    </row>
    <row r="207" spans="2:2">
      <c r="B207" s="4"/>
    </row>
    <row r="208" spans="2:2">
      <c r="B208" s="4"/>
    </row>
    <row r="209" spans="2:2">
      <c r="B209" s="4"/>
    </row>
    <row r="210" spans="2:2">
      <c r="B210" s="4"/>
    </row>
    <row r="211" spans="2:2">
      <c r="B211" s="4"/>
    </row>
    <row r="212" spans="2:2">
      <c r="B212" s="4"/>
    </row>
    <row r="213" spans="2:2">
      <c r="B213" s="4"/>
    </row>
    <row r="214" spans="2:2">
      <c r="B214" s="4"/>
    </row>
    <row r="215" spans="2:2">
      <c r="B215" s="4"/>
    </row>
    <row r="216" spans="2:2">
      <c r="B216" s="4"/>
    </row>
    <row r="217" spans="2:2">
      <c r="B217" s="4"/>
    </row>
    <row r="218" spans="2:2">
      <c r="B218" s="4"/>
    </row>
    <row r="219" spans="2:2">
      <c r="B219" s="4"/>
    </row>
    <row r="220" spans="2:2">
      <c r="B220" s="4"/>
    </row>
    <row r="221" spans="2:2">
      <c r="B221" s="4"/>
    </row>
    <row r="222" spans="2:2">
      <c r="B222" s="4"/>
    </row>
    <row r="223" spans="2:2">
      <c r="B223" s="4"/>
    </row>
    <row r="224" spans="2:2">
      <c r="B224" s="4"/>
    </row>
    <row r="225" spans="2:2">
      <c r="B225" s="4"/>
    </row>
    <row r="226" spans="2:2">
      <c r="B226" s="4"/>
    </row>
    <row r="227" spans="2:2">
      <c r="B227" s="4"/>
    </row>
    <row r="228" spans="2:2">
      <c r="B228" s="4"/>
    </row>
    <row r="229" spans="2:2">
      <c r="B229" s="4"/>
    </row>
    <row r="230" spans="2:2">
      <c r="B230" s="4"/>
    </row>
    <row r="231" spans="2:2">
      <c r="B231" s="4"/>
    </row>
    <row r="232" spans="2:2">
      <c r="B232" s="4"/>
    </row>
    <row r="233" spans="2:2">
      <c r="B233" s="4"/>
    </row>
    <row r="234" spans="2:2">
      <c r="B234" s="4"/>
    </row>
    <row r="235" spans="2:2">
      <c r="B235" s="4"/>
    </row>
    <row r="236" spans="2:2">
      <c r="B236" s="4"/>
    </row>
    <row r="237" spans="2:2">
      <c r="B237" s="4"/>
    </row>
    <row r="238" spans="2:2">
      <c r="B238" s="4"/>
    </row>
    <row r="239" spans="2:2">
      <c r="B239" s="4"/>
    </row>
    <row r="240" spans="2:2">
      <c r="B240" s="4"/>
    </row>
    <row r="241" spans="2:2">
      <c r="B241" s="4"/>
    </row>
    <row r="242" spans="2:2">
      <c r="B242" s="4"/>
    </row>
    <row r="243" spans="2:2">
      <c r="B243" s="4"/>
    </row>
    <row r="244" spans="2:2">
      <c r="B244" s="4"/>
    </row>
    <row r="245" spans="2:2">
      <c r="B245" s="4"/>
    </row>
    <row r="246" spans="2:2">
      <c r="B246" s="4"/>
    </row>
    <row r="247" spans="2:2">
      <c r="B247" s="4"/>
    </row>
    <row r="248" spans="2:2">
      <c r="B248" s="4"/>
    </row>
    <row r="249" spans="2:2">
      <c r="B249" s="4"/>
    </row>
    <row r="250" spans="2:2">
      <c r="B250" s="4"/>
    </row>
    <row r="251" spans="2:2">
      <c r="B251" s="4"/>
    </row>
    <row r="252" spans="2:2">
      <c r="B252" s="4"/>
    </row>
    <row r="253" spans="2:2">
      <c r="B253" s="4"/>
    </row>
    <row r="254" spans="2:2">
      <c r="B254" s="4"/>
    </row>
    <row r="255" spans="2:2">
      <c r="B255" s="4"/>
    </row>
    <row r="256" spans="2:2">
      <c r="B256" s="4"/>
    </row>
    <row r="257" spans="2:2">
      <c r="B257" s="4"/>
    </row>
    <row r="258" spans="2:2">
      <c r="B258" s="4"/>
    </row>
    <row r="259" spans="2:2">
      <c r="B259" s="4"/>
    </row>
    <row r="260" spans="2:2">
      <c r="B260" s="4"/>
    </row>
    <row r="261" spans="2:2">
      <c r="B261" s="4"/>
    </row>
    <row r="262" spans="2:2">
      <c r="B262" s="4"/>
    </row>
    <row r="263" spans="2:2">
      <c r="B263" s="4"/>
    </row>
    <row r="264" spans="2:2">
      <c r="B264" s="4"/>
    </row>
    <row r="265" spans="2:2">
      <c r="B265" s="4"/>
    </row>
    <row r="266" spans="2:2">
      <c r="B266" s="4"/>
    </row>
    <row r="267" spans="2:2">
      <c r="B267" s="4"/>
    </row>
    <row r="268" spans="2:2">
      <c r="B268" s="4"/>
    </row>
    <row r="269" spans="2:2">
      <c r="B269" s="4"/>
    </row>
    <row r="270" spans="2:2">
      <c r="B270" s="4"/>
    </row>
    <row r="271" spans="2:2">
      <c r="B271" s="4"/>
    </row>
    <row r="272" spans="2:2">
      <c r="B272" s="4"/>
    </row>
    <row r="273" spans="2:2">
      <c r="B273" s="4"/>
    </row>
    <row r="274" spans="2:2">
      <c r="B274" s="4"/>
    </row>
    <row r="275" spans="2:2">
      <c r="B275" s="4"/>
    </row>
    <row r="276" spans="2:2">
      <c r="B276" s="4"/>
    </row>
    <row r="277" spans="2:2">
      <c r="B277" s="4"/>
    </row>
    <row r="278" spans="2:2">
      <c r="B278" s="4"/>
    </row>
    <row r="279" spans="2:2">
      <c r="B279" s="4"/>
    </row>
    <row r="280" spans="2:2">
      <c r="B280" s="4"/>
    </row>
    <row r="281" spans="2:2">
      <c r="B281" s="4"/>
    </row>
    <row r="282" spans="2:2">
      <c r="B282" s="4"/>
    </row>
    <row r="283" spans="2:2">
      <c r="B283" s="4"/>
    </row>
    <row r="284" spans="2:2">
      <c r="B284" s="4"/>
    </row>
    <row r="285" spans="2:2">
      <c r="B285" s="4"/>
    </row>
    <row r="286" spans="2:2">
      <c r="B286" s="4"/>
    </row>
    <row r="287" spans="2:2">
      <c r="B287" s="4"/>
    </row>
    <row r="288" spans="2:2">
      <c r="B288" s="4"/>
    </row>
    <row r="289" spans="2:2">
      <c r="B289" s="4"/>
    </row>
    <row r="290" spans="2:2">
      <c r="B290" s="4"/>
    </row>
    <row r="291" spans="2:2">
      <c r="B291" s="4"/>
    </row>
    <row r="292" spans="2:2">
      <c r="B292" s="4"/>
    </row>
    <row r="293" spans="2:2">
      <c r="B293" s="4"/>
    </row>
    <row r="294" spans="2:2">
      <c r="B294" s="4"/>
    </row>
    <row r="295" spans="2:2">
      <c r="B295" s="4"/>
    </row>
    <row r="296" spans="2:2">
      <c r="B296" s="4"/>
    </row>
    <row r="297" spans="2:2">
      <c r="B297" s="4"/>
    </row>
    <row r="298" spans="2:2">
      <c r="B298" s="4"/>
    </row>
    <row r="299" spans="2:2">
      <c r="B299" s="4"/>
    </row>
    <row r="300" spans="2:2">
      <c r="B300" s="4"/>
    </row>
    <row r="301" spans="2:2">
      <c r="B301" s="4"/>
    </row>
    <row r="302" spans="2:2">
      <c r="B302" s="4"/>
    </row>
    <row r="303" spans="2:2">
      <c r="B303" s="4"/>
    </row>
    <row r="304" spans="2:2">
      <c r="B304" s="4"/>
    </row>
    <row r="305" spans="2:2">
      <c r="B305" s="4"/>
    </row>
    <row r="306" spans="2:2">
      <c r="B306" s="4"/>
    </row>
    <row r="307" spans="2:2">
      <c r="B307" s="4"/>
    </row>
    <row r="308" spans="2:2">
      <c r="B308" s="4"/>
    </row>
    <row r="309" spans="2:2">
      <c r="B309" s="4"/>
    </row>
    <row r="310" spans="2:2">
      <c r="B310" s="4"/>
    </row>
    <row r="311" spans="2:2">
      <c r="B311" s="4"/>
    </row>
    <row r="312" spans="2:2">
      <c r="B312" s="4"/>
    </row>
    <row r="313" spans="2:2">
      <c r="B313" s="4"/>
    </row>
    <row r="314" spans="2:2">
      <c r="B314" s="4"/>
    </row>
    <row r="315" spans="2:2">
      <c r="B315" s="4"/>
    </row>
    <row r="316" spans="2:2">
      <c r="B316" s="4"/>
    </row>
    <row r="317" spans="2:2">
      <c r="B317" s="4"/>
    </row>
    <row r="318" spans="2:2">
      <c r="B318" s="4"/>
    </row>
    <row r="319" spans="2:2">
      <c r="B319" s="4"/>
    </row>
    <row r="320" spans="2:2">
      <c r="B320" s="4"/>
    </row>
    <row r="321" spans="2:2">
      <c r="B321" s="4"/>
    </row>
    <row r="322" spans="2:2">
      <c r="B322" s="4"/>
    </row>
    <row r="323" spans="2:2">
      <c r="B323" s="4"/>
    </row>
    <row r="324" spans="2:2">
      <c r="B324" s="4"/>
    </row>
    <row r="325" spans="2:2">
      <c r="B325" s="4"/>
    </row>
    <row r="326" spans="2:2">
      <c r="B326" s="4"/>
    </row>
    <row r="327" spans="2:2">
      <c r="B327" s="4"/>
    </row>
    <row r="328" spans="2:2">
      <c r="B328" s="4"/>
    </row>
    <row r="329" spans="2:2">
      <c r="B329" s="4"/>
    </row>
    <row r="330" spans="2:2">
      <c r="B330" s="4"/>
    </row>
    <row r="331" spans="2:2">
      <c r="B331" s="4"/>
    </row>
    <row r="332" spans="2:2">
      <c r="B332" s="4"/>
    </row>
    <row r="333" spans="2:2">
      <c r="B333" s="4"/>
    </row>
    <row r="334" spans="2:2">
      <c r="B334" s="4"/>
    </row>
    <row r="335" spans="2:2">
      <c r="B335" s="4"/>
    </row>
    <row r="336" spans="2:2">
      <c r="B336" s="4"/>
    </row>
    <row r="337" spans="2:2">
      <c r="B337" s="4"/>
    </row>
    <row r="338" spans="2:2">
      <c r="B338" s="4"/>
    </row>
    <row r="339" spans="2:2">
      <c r="B339" s="4"/>
    </row>
    <row r="340" spans="2:2">
      <c r="B340" s="4"/>
    </row>
    <row r="341" spans="2:2">
      <c r="B341" s="4"/>
    </row>
    <row r="342" spans="2:2">
      <c r="B342" s="4"/>
    </row>
    <row r="343" spans="2:2">
      <c r="B343" s="4"/>
    </row>
    <row r="344" spans="2:2">
      <c r="B344" s="4"/>
    </row>
    <row r="345" spans="2:2">
      <c r="B345" s="4"/>
    </row>
    <row r="346" spans="2:2">
      <c r="B346" s="4"/>
    </row>
    <row r="347" spans="2:2">
      <c r="B347" s="4"/>
    </row>
    <row r="348" spans="2:2">
      <c r="B348" s="4"/>
    </row>
    <row r="349" spans="2:2">
      <c r="B349" s="4"/>
    </row>
    <row r="350" spans="2:2">
      <c r="B350" s="4"/>
    </row>
    <row r="351" spans="2:2">
      <c r="B351" s="4"/>
    </row>
    <row r="352" spans="2:2">
      <c r="B352" s="4"/>
    </row>
    <row r="353" spans="2:2">
      <c r="B353" s="4"/>
    </row>
    <row r="354" spans="2:2">
      <c r="B354" s="4"/>
    </row>
    <row r="355" spans="2:2">
      <c r="B355" s="4"/>
    </row>
    <row r="356" spans="2:2">
      <c r="B356" s="4"/>
    </row>
    <row r="357" spans="2:2">
      <c r="B357" s="4"/>
    </row>
    <row r="358" spans="2:2">
      <c r="B358" s="4"/>
    </row>
    <row r="359" spans="2:2">
      <c r="B359" s="4"/>
    </row>
    <row r="360" spans="2:2">
      <c r="B360" s="4"/>
    </row>
    <row r="361" spans="2:2">
      <c r="B361" s="4"/>
    </row>
    <row r="362" spans="2:2">
      <c r="B362" s="4"/>
    </row>
    <row r="363" spans="2:2">
      <c r="B363" s="4"/>
    </row>
    <row r="364" spans="2:2">
      <c r="B364" s="4"/>
    </row>
    <row r="365" spans="2:2">
      <c r="B365" s="4"/>
    </row>
    <row r="366" spans="2:2">
      <c r="B366" s="4"/>
    </row>
    <row r="367" spans="2:2">
      <c r="B367" s="4"/>
    </row>
    <row r="368" spans="2:2">
      <c r="B368" s="4"/>
    </row>
    <row r="369" spans="2:2">
      <c r="B369" s="4"/>
    </row>
    <row r="370" spans="2:2">
      <c r="B370" s="4"/>
    </row>
    <row r="371" spans="2:2">
      <c r="B371" s="4"/>
    </row>
    <row r="372" spans="2:2">
      <c r="B372" s="4"/>
    </row>
    <row r="373" spans="2:2">
      <c r="B373" s="4"/>
    </row>
    <row r="374" spans="2:2">
      <c r="B374" s="4"/>
    </row>
    <row r="375" spans="2:2">
      <c r="B375" s="4"/>
    </row>
    <row r="376" spans="2:2">
      <c r="B376" s="4"/>
    </row>
    <row r="377" spans="2:2">
      <c r="B377" s="4"/>
    </row>
    <row r="378" spans="2:2">
      <c r="B378" s="4"/>
    </row>
    <row r="379" spans="2:2">
      <c r="B379" s="4"/>
    </row>
    <row r="380" spans="2:2">
      <c r="B380" s="4"/>
    </row>
    <row r="381" spans="2:2">
      <c r="B381" s="4"/>
    </row>
    <row r="382" spans="2:2">
      <c r="B382" s="4"/>
    </row>
    <row r="383" spans="2:2">
      <c r="B383" s="4"/>
    </row>
    <row r="384" ht="12" customHeight="1" spans="2:2">
      <c r="B384" s="4"/>
    </row>
    <row r="385" spans="2:2">
      <c r="B385" s="4"/>
    </row>
    <row r="386" spans="2:2">
      <c r="B386" s="4"/>
    </row>
    <row r="387" spans="2:2">
      <c r="B387" s="4"/>
    </row>
    <row r="388" spans="2:2">
      <c r="B388" s="4"/>
    </row>
    <row r="389" spans="2:2">
      <c r="B389" s="4"/>
    </row>
    <row r="390" spans="2:2">
      <c r="B390" s="4"/>
    </row>
    <row r="391" spans="2:2">
      <c r="B391" s="4"/>
    </row>
    <row r="392" spans="2:2">
      <c r="B392" s="4"/>
    </row>
    <row r="393" spans="2:2">
      <c r="B393" s="4"/>
    </row>
    <row r="394" spans="2:2">
      <c r="B394" s="4"/>
    </row>
    <row r="395" spans="2:2">
      <c r="B395" s="4"/>
    </row>
    <row r="396" spans="2:2">
      <c r="B396" s="4"/>
    </row>
    <row r="397" spans="2:2">
      <c r="B397" s="4"/>
    </row>
    <row r="398" spans="2:2">
      <c r="B398" s="4"/>
    </row>
    <row r="399" spans="2:2">
      <c r="B399" s="4"/>
    </row>
    <row r="400" spans="2:2">
      <c r="B400" s="4"/>
    </row>
    <row r="401" spans="2:2">
      <c r="B401" s="4"/>
    </row>
    <row r="402" spans="2:2">
      <c r="B402" s="4"/>
    </row>
    <row r="403" spans="2:2">
      <c r="B403" s="4"/>
    </row>
    <row r="404" spans="2:2">
      <c r="B404" s="4"/>
    </row>
    <row r="405" spans="2:2">
      <c r="B405" s="4"/>
    </row>
    <row r="406" spans="2:2">
      <c r="B406" s="4"/>
    </row>
    <row r="407" spans="2:2">
      <c r="B407" s="4"/>
    </row>
    <row r="408" spans="2:2">
      <c r="B408" s="4"/>
    </row>
    <row r="409" spans="2:2">
      <c r="B409" s="4"/>
    </row>
    <row r="410" spans="2:2">
      <c r="B410" s="4"/>
    </row>
    <row r="411" spans="2:2">
      <c r="B411" s="4"/>
    </row>
    <row r="412" spans="2:2">
      <c r="B412" s="4"/>
    </row>
    <row r="413" spans="2:2">
      <c r="B413" s="4"/>
    </row>
    <row r="414" spans="2:2">
      <c r="B414" s="4"/>
    </row>
    <row r="415" spans="2:2">
      <c r="B415" s="4"/>
    </row>
    <row r="416" spans="2:2">
      <c r="B416" s="4"/>
    </row>
    <row r="417" spans="2:2">
      <c r="B417" s="4"/>
    </row>
    <row r="418" spans="2:2">
      <c r="B418" s="4"/>
    </row>
    <row r="419" spans="2:2">
      <c r="B419" s="4"/>
    </row>
    <row r="420" spans="2:2">
      <c r="B420" s="4"/>
    </row>
    <row r="421" spans="2:2">
      <c r="B421" s="4"/>
    </row>
    <row r="422" spans="2:2">
      <c r="B422" s="4"/>
    </row>
    <row r="423" spans="2:2">
      <c r="B423" s="4"/>
    </row>
    <row r="424" spans="2:2">
      <c r="B424" s="4"/>
    </row>
    <row r="425" spans="2:2">
      <c r="B425" s="4"/>
    </row>
    <row r="426" spans="2:2">
      <c r="B426" s="4"/>
    </row>
    <row r="427" spans="2:2">
      <c r="B427" s="4"/>
    </row>
    <row r="428" spans="2:2">
      <c r="B428" s="4"/>
    </row>
    <row r="429" spans="2:2">
      <c r="B429" s="4"/>
    </row>
    <row r="430" spans="2:2">
      <c r="B430" s="4"/>
    </row>
    <row r="431" spans="2:2">
      <c r="B431" s="4"/>
    </row>
    <row r="432" spans="2:2">
      <c r="B432" s="4"/>
    </row>
    <row r="433" spans="2:2">
      <c r="B433" s="4"/>
    </row>
    <row r="434" spans="2:2">
      <c r="B434" s="4"/>
    </row>
    <row r="435" spans="2:2">
      <c r="B435" s="4"/>
    </row>
    <row r="436" spans="2:2">
      <c r="B436" s="4"/>
    </row>
    <row r="437" spans="2:2">
      <c r="B437" s="4"/>
    </row>
    <row r="438" spans="2:2">
      <c r="B438" s="4"/>
    </row>
    <row r="439" spans="2:2">
      <c r="B439" s="4"/>
    </row>
    <row r="440" spans="2:2">
      <c r="B440" s="4"/>
    </row>
    <row r="441" spans="2:2">
      <c r="B441" s="4"/>
    </row>
    <row r="442" spans="2:2">
      <c r="B442" s="4"/>
    </row>
    <row r="443" spans="2:2">
      <c r="B443" s="4"/>
    </row>
    <row r="444" spans="2:2">
      <c r="B444" s="4"/>
    </row>
    <row r="445" spans="2:2">
      <c r="B445" s="4"/>
    </row>
    <row r="446" spans="2:2">
      <c r="B446" s="4"/>
    </row>
    <row r="447" spans="2:2">
      <c r="B447" s="4"/>
    </row>
    <row r="448" spans="2:2">
      <c r="B448" s="4"/>
    </row>
    <row r="449" spans="2:2">
      <c r="B449" s="4"/>
    </row>
    <row r="450" spans="2:2">
      <c r="B450" s="4"/>
    </row>
    <row r="451" spans="2:2">
      <c r="B451" s="4"/>
    </row>
    <row r="452" spans="2:2">
      <c r="B452" s="4"/>
    </row>
    <row r="453" spans="2:2">
      <c r="B453" s="4"/>
    </row>
    <row r="454" spans="2:2">
      <c r="B454" s="4"/>
    </row>
    <row r="455" spans="2:2">
      <c r="B455" s="4"/>
    </row>
    <row r="456" spans="2:2">
      <c r="B456" s="4"/>
    </row>
    <row r="457" spans="2:2">
      <c r="B457" s="4"/>
    </row>
    <row r="458" spans="2:2">
      <c r="B458" s="4"/>
    </row>
    <row r="459" spans="2:2">
      <c r="B459" s="4"/>
    </row>
    <row r="460" spans="2:2">
      <c r="B460" s="4"/>
    </row>
    <row r="461" spans="2:2">
      <c r="B461" s="4"/>
    </row>
    <row r="462" spans="2:2">
      <c r="B462" s="4"/>
    </row>
    <row r="463" spans="2:2">
      <c r="B463" s="4"/>
    </row>
    <row r="464" spans="2:2">
      <c r="B464" s="4"/>
    </row>
    <row r="465" spans="2:2">
      <c r="B465" s="4"/>
    </row>
    <row r="466" spans="2:2">
      <c r="B466" s="4"/>
    </row>
    <row r="467" spans="2:2">
      <c r="B467" s="4"/>
    </row>
    <row r="468" spans="2:2">
      <c r="B468" s="4"/>
    </row>
    <row r="469" spans="2:2">
      <c r="B469" s="4"/>
    </row>
    <row r="470" spans="2:2">
      <c r="B470" s="4"/>
    </row>
    <row r="471" spans="2:2">
      <c r="B471" s="4"/>
    </row>
    <row r="472" spans="2:2">
      <c r="B472" s="4"/>
    </row>
    <row r="473" spans="2:2">
      <c r="B473" s="4"/>
    </row>
    <row r="474" spans="2:2">
      <c r="B474" s="4"/>
    </row>
    <row r="475" spans="2:2">
      <c r="B475" s="4"/>
    </row>
    <row r="476" spans="2:2">
      <c r="B476" s="4"/>
    </row>
    <row r="477" spans="2:2">
      <c r="B477" s="4"/>
    </row>
    <row r="478" spans="2:2">
      <c r="B478" s="4"/>
    </row>
    <row r="479" spans="2:2">
      <c r="B479" s="4"/>
    </row>
    <row r="480" spans="2:2">
      <c r="B480" s="4"/>
    </row>
    <row r="481" spans="2:2">
      <c r="B481" s="4"/>
    </row>
    <row r="482" spans="2:2">
      <c r="B482" s="4"/>
    </row>
    <row r="483" spans="2:2">
      <c r="B483" s="4"/>
    </row>
    <row r="484" spans="2:2">
      <c r="B484" s="4"/>
    </row>
    <row r="485" spans="2:2">
      <c r="B485" s="4"/>
    </row>
    <row r="486" spans="2:2">
      <c r="B486" s="4"/>
    </row>
    <row r="487" spans="2:2">
      <c r="B487" s="4"/>
    </row>
    <row r="488" spans="2:2">
      <c r="B488" s="4"/>
    </row>
    <row r="489" spans="2:2">
      <c r="B489" s="4"/>
    </row>
    <row r="490" spans="2:2">
      <c r="B490" s="4"/>
    </row>
    <row r="491" spans="2:2">
      <c r="B491" s="4"/>
    </row>
    <row r="492" spans="2:2">
      <c r="B492" s="4"/>
    </row>
    <row r="493" spans="2:2">
      <c r="B493" s="4"/>
    </row>
    <row r="494" spans="2:2">
      <c r="B494" s="4"/>
    </row>
    <row r="495" spans="2:2">
      <c r="B495" s="4"/>
    </row>
    <row r="496" spans="2:2">
      <c r="B496" s="4"/>
    </row>
    <row r="497" spans="2:2">
      <c r="B497" s="4"/>
    </row>
    <row r="498" spans="2:2">
      <c r="B498" s="4"/>
    </row>
    <row r="499" spans="2:2">
      <c r="B499" s="4"/>
    </row>
    <row r="500" spans="2:2">
      <c r="B500" s="4"/>
    </row>
    <row r="501" spans="2:2">
      <c r="B501" s="4"/>
    </row>
    <row r="502" spans="2:2">
      <c r="B502" s="4"/>
    </row>
    <row r="503" spans="2:2">
      <c r="B503" s="4"/>
    </row>
    <row r="504" spans="2:2">
      <c r="B504" s="4"/>
    </row>
    <row r="505" spans="2:2">
      <c r="B505" s="4"/>
    </row>
    <row r="506" spans="2:2">
      <c r="B506" s="4"/>
    </row>
    <row r="507" spans="2:2">
      <c r="B507" s="4"/>
    </row>
    <row r="508" spans="2:2">
      <c r="B508" s="4"/>
    </row>
    <row r="509" spans="2:2">
      <c r="B509" s="4"/>
    </row>
    <row r="510" spans="2:2">
      <c r="B510" s="4"/>
    </row>
    <row r="511" spans="2:2">
      <c r="B511" s="4"/>
    </row>
    <row r="512" spans="2:2">
      <c r="B512" s="4"/>
    </row>
    <row r="513" spans="2:2">
      <c r="B513" s="4"/>
    </row>
    <row r="514" spans="2:2">
      <c r="B514" s="4"/>
    </row>
    <row r="515" spans="2:2">
      <c r="B515" s="4"/>
    </row>
    <row r="516" spans="2:2">
      <c r="B516" s="4"/>
    </row>
    <row r="517" spans="2:2">
      <c r="B517" s="4"/>
    </row>
    <row r="518" spans="2:2">
      <c r="B518" s="4"/>
    </row>
    <row r="519" spans="2:2">
      <c r="B519" s="4"/>
    </row>
    <row r="520" spans="2:2">
      <c r="B520" s="4"/>
    </row>
    <row r="521" spans="2:2">
      <c r="B521" s="4"/>
    </row>
    <row r="522" spans="2:2">
      <c r="B522" s="4"/>
    </row>
    <row r="523" spans="2:2">
      <c r="B523" s="4"/>
    </row>
    <row r="524" spans="2:2">
      <c r="B524" s="4"/>
    </row>
    <row r="525" spans="2:2">
      <c r="B525" s="4"/>
    </row>
    <row r="526" spans="2:2">
      <c r="B526" s="4"/>
    </row>
    <row r="527" spans="2:2">
      <c r="B527" s="4"/>
    </row>
    <row r="528" spans="2:2">
      <c r="B528" s="4"/>
    </row>
    <row r="529" spans="2:2">
      <c r="B529" s="4"/>
    </row>
    <row r="530" spans="2:2">
      <c r="B530" s="4"/>
    </row>
    <row r="531" spans="2:2">
      <c r="B531" s="4"/>
    </row>
    <row r="532" spans="2:2">
      <c r="B532" s="4"/>
    </row>
    <row r="533" spans="2:2">
      <c r="B533" s="4"/>
    </row>
    <row r="534" spans="2:2">
      <c r="B534" s="4"/>
    </row>
    <row r="535" spans="2:2">
      <c r="B535" s="4"/>
    </row>
    <row r="536" spans="2:2">
      <c r="B536" s="4"/>
    </row>
    <row r="537" spans="2:2">
      <c r="B537" s="4"/>
    </row>
    <row r="538" spans="2:2">
      <c r="B538" s="4"/>
    </row>
    <row r="539" spans="2:2">
      <c r="B539" s="4"/>
    </row>
    <row r="540" spans="2:2">
      <c r="B540" s="4"/>
    </row>
    <row r="541" spans="2:2">
      <c r="B541" s="4"/>
    </row>
    <row r="542" spans="2:2">
      <c r="B542" s="4"/>
    </row>
    <row r="543" spans="2:2">
      <c r="B543" s="4"/>
    </row>
    <row r="544" spans="2:2">
      <c r="B544" s="4"/>
    </row>
    <row r="545" spans="2:2">
      <c r="B545" s="4"/>
    </row>
    <row r="546" spans="2:2">
      <c r="B546" s="4"/>
    </row>
    <row r="547" spans="2:2">
      <c r="B547" s="4"/>
    </row>
    <row r="548" spans="2:2">
      <c r="B548" s="4"/>
    </row>
    <row r="549" spans="2:2">
      <c r="B549" s="4"/>
    </row>
    <row r="550" spans="2:2">
      <c r="B550" s="4"/>
    </row>
    <row r="551" spans="2:2">
      <c r="B551" s="4"/>
    </row>
    <row r="552" spans="2:2">
      <c r="B552" s="4"/>
    </row>
    <row r="553" spans="2:2">
      <c r="B553" s="4"/>
    </row>
    <row r="554" spans="2:2">
      <c r="B554" s="4"/>
    </row>
    <row r="555" spans="2:2">
      <c r="B555" s="4"/>
    </row>
    <row r="556" spans="2:2">
      <c r="B556" s="4"/>
    </row>
    <row r="557" spans="2:2">
      <c r="B557" s="4"/>
    </row>
    <row r="558" spans="2:2">
      <c r="B558" s="4"/>
    </row>
    <row r="559" spans="2:2">
      <c r="B559" s="4"/>
    </row>
    <row r="560" spans="2:2">
      <c r="B560" s="4"/>
    </row>
    <row r="561" spans="2:2">
      <c r="B561" s="4"/>
    </row>
    <row r="562" spans="2:2">
      <c r="B562" s="4"/>
    </row>
    <row r="563" spans="2:2">
      <c r="B563" s="4"/>
    </row>
    <row r="564" spans="2:2">
      <c r="B564" s="4"/>
    </row>
    <row r="565" spans="2:2">
      <c r="B565" s="4"/>
    </row>
    <row r="566" spans="2:2">
      <c r="B566" s="4"/>
    </row>
    <row r="567" spans="2:2">
      <c r="B567" s="4"/>
    </row>
    <row r="568" spans="2:2">
      <c r="B568" s="4"/>
    </row>
    <row r="569" spans="2:2">
      <c r="B569" s="4"/>
    </row>
    <row r="570" spans="2:2">
      <c r="B570" s="4"/>
    </row>
    <row r="571" spans="2:2">
      <c r="B571" s="4"/>
    </row>
    <row r="572" spans="2:2">
      <c r="B572" s="4"/>
    </row>
    <row r="573" spans="2:2">
      <c r="B573" s="4"/>
    </row>
    <row r="574" spans="2:2">
      <c r="B574" s="4"/>
    </row>
    <row r="575" spans="2:2">
      <c r="B575" s="4"/>
    </row>
    <row r="576" spans="2:2">
      <c r="B576" s="4"/>
    </row>
    <row r="577" spans="2:2">
      <c r="B577" s="4"/>
    </row>
    <row r="578" spans="2:2">
      <c r="B578" s="4"/>
    </row>
    <row r="579" spans="2:2">
      <c r="B579" s="4"/>
    </row>
    <row r="580" spans="2:2">
      <c r="B580" s="4"/>
    </row>
    <row r="581" spans="2:2">
      <c r="B581" s="4"/>
    </row>
    <row r="582" spans="2:2">
      <c r="B582" s="4"/>
    </row>
    <row r="583" spans="2:2">
      <c r="B583" s="4"/>
    </row>
    <row r="584" spans="2:2">
      <c r="B584" s="4"/>
    </row>
    <row r="585" spans="2:2">
      <c r="B585" s="4"/>
    </row>
    <row r="586" spans="2:2">
      <c r="B586" s="4"/>
    </row>
    <row r="587" spans="2:2">
      <c r="B587" s="4"/>
    </row>
    <row r="588" spans="2:2">
      <c r="B588" s="4"/>
    </row>
    <row r="589" spans="2:2">
      <c r="B589" s="4"/>
    </row>
    <row r="590" spans="2:2">
      <c r="B590" s="4"/>
    </row>
    <row r="591" spans="2:2">
      <c r="B591" s="4"/>
    </row>
    <row r="592" spans="2:2">
      <c r="B592" s="4"/>
    </row>
    <row r="593" spans="2:2">
      <c r="B593" s="4"/>
    </row>
    <row r="594" spans="2:2">
      <c r="B594" s="4"/>
    </row>
    <row r="595" spans="2:2">
      <c r="B595" s="4"/>
    </row>
    <row r="596" spans="2:2">
      <c r="B596" s="4"/>
    </row>
    <row r="597" spans="2:2">
      <c r="B597" s="4"/>
    </row>
    <row r="598" spans="2:2">
      <c r="B598" s="4"/>
    </row>
    <row r="599" spans="2:2">
      <c r="B599" s="4"/>
    </row>
    <row r="600" spans="2:2">
      <c r="B600" s="4"/>
    </row>
    <row r="601" spans="2:2">
      <c r="B601" s="4"/>
    </row>
    <row r="602" spans="2:2">
      <c r="B602" s="4"/>
    </row>
    <row r="603" spans="2:2">
      <c r="B603" s="4"/>
    </row>
    <row r="604" spans="2:2">
      <c r="B604" s="4"/>
    </row>
    <row r="605" spans="2:2">
      <c r="B605" s="4"/>
    </row>
    <row r="606" spans="2:2">
      <c r="B606" s="4"/>
    </row>
    <row r="607" spans="2:2">
      <c r="B607" s="4"/>
    </row>
    <row r="608" spans="2:2">
      <c r="B608" s="4"/>
    </row>
    <row r="609" spans="2:2">
      <c r="B609" s="4"/>
    </row>
    <row r="610" spans="2:2">
      <c r="B610" s="4"/>
    </row>
    <row r="611" spans="2:2">
      <c r="B611" s="4"/>
    </row>
    <row r="612" spans="2:2">
      <c r="B612" s="4"/>
    </row>
    <row r="613" spans="2:2">
      <c r="B613" s="4"/>
    </row>
    <row r="614" spans="2:2">
      <c r="B614" s="4"/>
    </row>
    <row r="615" spans="2:2">
      <c r="B615" s="4"/>
    </row>
    <row r="616" spans="2:2">
      <c r="B616" s="4"/>
    </row>
    <row r="617" spans="2:2">
      <c r="B617" s="4"/>
    </row>
    <row r="618" spans="2:2">
      <c r="B618" s="4"/>
    </row>
    <row r="619" spans="2:2">
      <c r="B619" s="4"/>
    </row>
    <row r="620" spans="2:2">
      <c r="B620" s="4"/>
    </row>
    <row r="621" spans="2:2">
      <c r="B621" s="4"/>
    </row>
    <row r="622" spans="2:2">
      <c r="B622" s="4"/>
    </row>
    <row r="623" spans="2:2">
      <c r="B623" s="4"/>
    </row>
    <row r="624" spans="2:2">
      <c r="B624" s="4"/>
    </row>
    <row r="625" spans="2:2">
      <c r="B625" s="4"/>
    </row>
    <row r="626" spans="2:2">
      <c r="B626" s="4"/>
    </row>
    <row r="627" spans="2:2">
      <c r="B627" s="4"/>
    </row>
    <row r="628" spans="2:2">
      <c r="B628" s="4"/>
    </row>
    <row r="629" spans="2:2">
      <c r="B629" s="4"/>
    </row>
    <row r="630" spans="2:2">
      <c r="B630" s="4"/>
    </row>
    <row r="631" spans="2:2">
      <c r="B631" s="4"/>
    </row>
    <row r="632" spans="2:2">
      <c r="B632" s="4"/>
    </row>
    <row r="633" spans="2:2">
      <c r="B633" s="4"/>
    </row>
    <row r="634" spans="2:2">
      <c r="B634" s="4"/>
    </row>
    <row r="635" spans="2:2">
      <c r="B635" s="4"/>
    </row>
    <row r="636" spans="2:2">
      <c r="B636" s="4"/>
    </row>
    <row r="637" spans="2:2">
      <c r="B637" s="4"/>
    </row>
    <row r="638" spans="2:2">
      <c r="B638" s="4"/>
    </row>
    <row r="639" spans="2:2">
      <c r="B639" s="4"/>
    </row>
    <row r="640" spans="2:2">
      <c r="B640" s="4"/>
    </row>
    <row r="641" spans="2:2">
      <c r="B641" s="4"/>
    </row>
    <row r="642" spans="2:2">
      <c r="B642" s="4"/>
    </row>
    <row r="643" spans="2:2">
      <c r="B643" s="4"/>
    </row>
    <row r="644" spans="2:2">
      <c r="B644" s="4"/>
    </row>
    <row r="645" spans="2:2">
      <c r="B645" s="4"/>
    </row>
    <row r="646" spans="2:2">
      <c r="B646" s="4"/>
    </row>
    <row r="647" spans="2:2">
      <c r="B647" s="4"/>
    </row>
    <row r="648" spans="2:2">
      <c r="B648" s="4"/>
    </row>
    <row r="649" spans="2:2">
      <c r="B649" s="4"/>
    </row>
    <row r="650" spans="2:2">
      <c r="B650" s="4"/>
    </row>
    <row r="651" spans="2:2">
      <c r="B651" s="4"/>
    </row>
    <row r="652" spans="2:2">
      <c r="B652" s="4"/>
    </row>
    <row r="653" spans="2:2">
      <c r="B653" s="4"/>
    </row>
    <row r="654" spans="2:2">
      <c r="B654" s="4"/>
    </row>
    <row r="655" spans="2:2">
      <c r="B655" s="4"/>
    </row>
    <row r="656" spans="2:2">
      <c r="B656" s="4"/>
    </row>
    <row r="657" spans="2:2">
      <c r="B657" s="4"/>
    </row>
    <row r="658" spans="2:2">
      <c r="B658" s="4"/>
    </row>
    <row r="659" spans="2:2">
      <c r="B659" s="4"/>
    </row>
    <row r="660" spans="2:2">
      <c r="B660" s="4"/>
    </row>
    <row r="661" spans="2:2">
      <c r="B661" s="4"/>
    </row>
    <row r="662" spans="2:2">
      <c r="B662" s="4"/>
    </row>
    <row r="663" spans="2:2">
      <c r="B663" s="4"/>
    </row>
    <row r="664" spans="2:2">
      <c r="B664" s="4"/>
    </row>
    <row r="665" spans="2:2">
      <c r="B665" s="4"/>
    </row>
    <row r="666" spans="2:2">
      <c r="B666" s="4"/>
    </row>
    <row r="667" spans="2:2">
      <c r="B667" s="4"/>
    </row>
    <row r="668" spans="2:2">
      <c r="B668" s="4"/>
    </row>
    <row r="669" spans="2:2">
      <c r="B669" s="4"/>
    </row>
    <row r="670" spans="2:2">
      <c r="B670" s="4"/>
    </row>
    <row r="671" spans="2:2">
      <c r="B671" s="4"/>
    </row>
    <row r="672" spans="2:2">
      <c r="B672" s="4"/>
    </row>
    <row r="673" spans="2:2">
      <c r="B673" s="4"/>
    </row>
    <row r="674" spans="2:2">
      <c r="B674" s="4"/>
    </row>
    <row r="675" spans="2:2">
      <c r="B675" s="4"/>
    </row>
    <row r="676" spans="2:2">
      <c r="B676" s="4"/>
    </row>
    <row r="677" spans="2:2">
      <c r="B677" s="4"/>
    </row>
    <row r="678" spans="2:2">
      <c r="B678" s="4"/>
    </row>
    <row r="679" spans="2:2">
      <c r="B679" s="4"/>
    </row>
    <row r="680" spans="2:2">
      <c r="B680" s="4"/>
    </row>
    <row r="681" spans="2:2">
      <c r="B681" s="4"/>
    </row>
    <row r="682" spans="2:2">
      <c r="B682" s="4"/>
    </row>
    <row r="683" spans="2:2">
      <c r="B683" s="4"/>
    </row>
    <row r="684" spans="2:2">
      <c r="B684" s="4"/>
    </row>
    <row r="685" spans="2:2">
      <c r="B685" s="4"/>
    </row>
    <row r="686" spans="2:2">
      <c r="B686" s="4"/>
    </row>
    <row r="687" spans="2:2">
      <c r="B687" s="4"/>
    </row>
    <row r="688" spans="2:2">
      <c r="B688" s="4"/>
    </row>
    <row r="689" spans="2:2">
      <c r="B689" s="4"/>
    </row>
    <row r="690" spans="2:2">
      <c r="B690" s="4"/>
    </row>
    <row r="691" spans="2:2">
      <c r="B691" s="4"/>
    </row>
    <row r="692" spans="2:2">
      <c r="B692" s="4"/>
    </row>
    <row r="693" spans="2:2">
      <c r="B693" s="4"/>
    </row>
    <row r="694" spans="2:2">
      <c r="B694" s="4"/>
    </row>
    <row r="695" spans="2:2">
      <c r="B695" s="4"/>
    </row>
    <row r="696" spans="2:2">
      <c r="B696" s="4"/>
    </row>
    <row r="697" spans="2:2">
      <c r="B697" s="4"/>
    </row>
    <row r="698" spans="2:2">
      <c r="B698" s="4"/>
    </row>
    <row r="699" spans="2:2">
      <c r="B699" s="4"/>
    </row>
    <row r="700" spans="2:2">
      <c r="B700" s="4"/>
    </row>
    <row r="701" spans="2:2">
      <c r="B701" s="4"/>
    </row>
    <row r="702" spans="2:2">
      <c r="B702" s="4"/>
    </row>
    <row r="703" spans="2:2">
      <c r="B703" s="4"/>
    </row>
    <row r="704" spans="2:2">
      <c r="B704" s="4"/>
    </row>
    <row r="705" spans="2:2">
      <c r="B705" s="4"/>
    </row>
    <row r="706" spans="2:2">
      <c r="B706" s="4"/>
    </row>
    <row r="707" spans="2:2">
      <c r="B707" s="4"/>
    </row>
    <row r="708" spans="2:2">
      <c r="B708" s="4"/>
    </row>
    <row r="709" spans="2:2">
      <c r="B709" s="4"/>
    </row>
    <row r="710" spans="2:2">
      <c r="B710" s="4"/>
    </row>
    <row r="711" spans="2:2">
      <c r="B711" s="4"/>
    </row>
    <row r="712" spans="2:2">
      <c r="B712" s="4"/>
    </row>
    <row r="713" spans="2:2">
      <c r="B713" s="4"/>
    </row>
    <row r="714" spans="2:2">
      <c r="B714" s="4"/>
    </row>
    <row r="715" spans="2:2">
      <c r="B715" s="4"/>
    </row>
    <row r="716" spans="2:2">
      <c r="B716" s="4"/>
    </row>
    <row r="717" spans="2:2">
      <c r="B717" s="4"/>
    </row>
    <row r="718" spans="2:2">
      <c r="B718" s="4"/>
    </row>
    <row r="719" spans="2:2">
      <c r="B719" s="4"/>
    </row>
    <row r="720" spans="2:2">
      <c r="B720" s="4"/>
    </row>
    <row r="721" spans="2:2">
      <c r="B721" s="4"/>
    </row>
    <row r="722" spans="2:2">
      <c r="B722" s="4"/>
    </row>
    <row r="723" spans="2:2">
      <c r="B723" s="4"/>
    </row>
    <row r="724" spans="2:2">
      <c r="B724" s="4"/>
    </row>
    <row r="725" spans="2:2">
      <c r="B725" s="4"/>
    </row>
    <row r="726" spans="2:2">
      <c r="B726" s="4"/>
    </row>
    <row r="727" spans="2:2">
      <c r="B727" s="4"/>
    </row>
    <row r="728" spans="2:2">
      <c r="B728" s="4"/>
    </row>
    <row r="729" spans="2:2">
      <c r="B729" s="4"/>
    </row>
    <row r="730" spans="2:2">
      <c r="B730" s="4"/>
    </row>
    <row r="731" spans="2:2">
      <c r="B731" s="4"/>
    </row>
    <row r="732" spans="2:2">
      <c r="B732" s="4"/>
    </row>
    <row r="733" spans="2:2">
      <c r="B733" s="4"/>
    </row>
    <row r="734" spans="2:2">
      <c r="B734" s="4"/>
    </row>
    <row r="735" spans="2:2">
      <c r="B735" s="4"/>
    </row>
    <row r="736" spans="2:2">
      <c r="B736" s="4"/>
    </row>
    <row r="737" spans="2:2">
      <c r="B737" s="4"/>
    </row>
    <row r="738" spans="2:2">
      <c r="B738" s="4"/>
    </row>
    <row r="739" spans="2:2">
      <c r="B739" s="4"/>
    </row>
    <row r="740" spans="2:2">
      <c r="B740" s="4"/>
    </row>
    <row r="741" spans="2:2">
      <c r="B741" s="4"/>
    </row>
    <row r="742" spans="2:2">
      <c r="B742" s="4"/>
    </row>
    <row r="743" spans="2:2">
      <c r="B743" s="4"/>
    </row>
    <row r="744" spans="2:2">
      <c r="B744" s="4"/>
    </row>
    <row r="745" spans="2:2">
      <c r="B745" s="4"/>
    </row>
    <row r="746" spans="2:2">
      <c r="B746" s="4"/>
    </row>
    <row r="747" spans="2:2">
      <c r="B747" s="4"/>
    </row>
    <row r="748" spans="2:2">
      <c r="B748" s="4"/>
    </row>
    <row r="749" spans="2:2">
      <c r="B749" s="4"/>
    </row>
    <row r="750" spans="2:2">
      <c r="B750" s="4"/>
    </row>
    <row r="751" spans="2:2">
      <c r="B751" s="4"/>
    </row>
    <row r="752" spans="2:2">
      <c r="B752" s="4"/>
    </row>
    <row r="753" spans="2:2">
      <c r="B753" s="4"/>
    </row>
    <row r="754" spans="2:2">
      <c r="B754" s="4"/>
    </row>
    <row r="755" spans="2:2">
      <c r="B755" s="4"/>
    </row>
    <row r="756" spans="2:2">
      <c r="B756" s="4"/>
    </row>
    <row r="757" spans="2:2">
      <c r="B757" s="4"/>
    </row>
    <row r="758" spans="2:2">
      <c r="B758" s="4"/>
    </row>
    <row r="759" spans="2:2">
      <c r="B759" s="4"/>
    </row>
    <row r="760" spans="2:2">
      <c r="B760" s="4"/>
    </row>
    <row r="761" spans="2:2">
      <c r="B761" s="4"/>
    </row>
    <row r="762" spans="2:2">
      <c r="B762" s="4"/>
    </row>
    <row r="763" spans="2:2">
      <c r="B763" s="4"/>
    </row>
    <row r="764" spans="2:2">
      <c r="B764" s="4"/>
    </row>
    <row r="765" spans="2:2">
      <c r="B765" s="4"/>
    </row>
    <row r="766" spans="2:2">
      <c r="B766" s="4"/>
    </row>
    <row r="767" spans="2:2">
      <c r="B767" s="4"/>
    </row>
    <row r="768" spans="2:2">
      <c r="B768" s="4"/>
    </row>
    <row r="769" spans="2:2">
      <c r="B769" s="4"/>
    </row>
    <row r="770" spans="2:2">
      <c r="B770" s="4"/>
    </row>
    <row r="771" spans="2:2">
      <c r="B771" s="4"/>
    </row>
    <row r="772" spans="2:2">
      <c r="B772" s="4"/>
    </row>
    <row r="773" spans="2:2">
      <c r="B773" s="4"/>
    </row>
    <row r="774" spans="2:2">
      <c r="B774" s="4"/>
    </row>
    <row r="775" spans="2:2">
      <c r="B775" s="4"/>
    </row>
    <row r="776" spans="2:2">
      <c r="B776" s="4"/>
    </row>
    <row r="777" spans="2:2">
      <c r="B777" s="4"/>
    </row>
    <row r="778" spans="2:2">
      <c r="B778" s="4"/>
    </row>
    <row r="779" spans="2:2">
      <c r="B779" s="4"/>
    </row>
    <row r="780" spans="2:2">
      <c r="B780" s="4"/>
    </row>
    <row r="781" spans="2:2">
      <c r="B781" s="4"/>
    </row>
    <row r="782" spans="2:2">
      <c r="B782" s="4"/>
    </row>
    <row r="783" spans="2:2">
      <c r="B783" s="4"/>
    </row>
    <row r="784" spans="2:2">
      <c r="B784" s="4"/>
    </row>
    <row r="785" spans="2:2">
      <c r="B785" s="4"/>
    </row>
    <row r="786" spans="2:2">
      <c r="B786" s="4"/>
    </row>
    <row r="787" spans="2:2">
      <c r="B787" s="4"/>
    </row>
    <row r="788" spans="2:2">
      <c r="B788" s="4"/>
    </row>
    <row r="789" spans="2:2">
      <c r="B789" s="4"/>
    </row>
    <row r="790" spans="2:2">
      <c r="B790" s="4"/>
    </row>
    <row r="791" spans="2:2">
      <c r="B791" s="4"/>
    </row>
    <row r="792" spans="2:2">
      <c r="B792" s="4"/>
    </row>
    <row r="793" spans="2:2">
      <c r="B793" s="4"/>
    </row>
    <row r="794" spans="2:2">
      <c r="B794" s="4"/>
    </row>
    <row r="795" spans="2:2">
      <c r="B795" s="4"/>
    </row>
    <row r="796" spans="2:2">
      <c r="B796" s="4"/>
    </row>
    <row r="797" spans="2:2">
      <c r="B797" s="4"/>
    </row>
    <row r="798" spans="2:2">
      <c r="B798" s="4"/>
    </row>
    <row r="799" spans="2:2">
      <c r="B799" s="4"/>
    </row>
    <row r="800" spans="2:2">
      <c r="B800" s="4"/>
    </row>
    <row r="801" spans="2:2">
      <c r="B801" s="4"/>
    </row>
    <row r="802" spans="2:2">
      <c r="B802" s="4"/>
    </row>
    <row r="803" spans="2:2">
      <c r="B803" s="4"/>
    </row>
    <row r="804" spans="2:2">
      <c r="B804" s="4"/>
    </row>
    <row r="805" spans="2:2">
      <c r="B805" s="4"/>
    </row>
    <row r="806" spans="2:2">
      <c r="B806" s="4"/>
    </row>
    <row r="807" spans="2:2">
      <c r="B807" s="4"/>
    </row>
    <row r="808" spans="2:2">
      <c r="B808" s="4"/>
    </row>
    <row r="809" spans="2:2">
      <c r="B809" s="4"/>
    </row>
    <row r="810" spans="2:2">
      <c r="B810" s="4"/>
    </row>
    <row r="811" spans="2:2">
      <c r="B811" s="4"/>
    </row>
    <row r="812" spans="2:2">
      <c r="B812" s="4"/>
    </row>
    <row r="813" spans="2:2">
      <c r="B813" s="4"/>
    </row>
    <row r="814" spans="2:2">
      <c r="B814" s="4"/>
    </row>
    <row r="815" spans="2:2">
      <c r="B815" s="4"/>
    </row>
    <row r="816" spans="2:2">
      <c r="B816" s="4"/>
    </row>
    <row r="817" spans="2:2">
      <c r="B817" s="4"/>
    </row>
    <row r="818" spans="2:2">
      <c r="B818" s="4"/>
    </row>
    <row r="819" spans="2:2">
      <c r="B819" s="4"/>
    </row>
    <row r="820" spans="2:2">
      <c r="B820" s="4"/>
    </row>
    <row r="821" spans="2:2">
      <c r="B821" s="4"/>
    </row>
    <row r="822" spans="2:2">
      <c r="B822" s="4"/>
    </row>
    <row r="823" spans="2:2">
      <c r="B823" s="4"/>
    </row>
    <row r="824" spans="2:2">
      <c r="B824" s="4"/>
    </row>
    <row r="825" spans="2:2">
      <c r="B825" s="4"/>
    </row>
    <row r="826" spans="2:2">
      <c r="B826" s="4"/>
    </row>
    <row r="827" spans="2:2">
      <c r="B827" s="4"/>
    </row>
    <row r="828" spans="2:2">
      <c r="B828" s="4"/>
    </row>
    <row r="829" spans="2:2">
      <c r="B829" s="4"/>
    </row>
    <row r="830" spans="2:2">
      <c r="B830" s="4"/>
    </row>
    <row r="831" spans="2:2">
      <c r="B831" s="4"/>
    </row>
    <row r="832" spans="2:2">
      <c r="B832" s="4"/>
    </row>
    <row r="833" spans="2:2">
      <c r="B833" s="4"/>
    </row>
    <row r="834" spans="2:2">
      <c r="B834" s="4"/>
    </row>
    <row r="835" spans="2:2">
      <c r="B835" s="4"/>
    </row>
    <row r="836" spans="2:2">
      <c r="B836" s="4"/>
    </row>
    <row r="837" spans="2:2">
      <c r="B837" s="4"/>
    </row>
    <row r="838" spans="2:2">
      <c r="B838" s="4"/>
    </row>
    <row r="839" spans="2:2">
      <c r="B839" s="4"/>
    </row>
    <row r="840" spans="2:2">
      <c r="B840" s="4"/>
    </row>
    <row r="841" spans="2:2">
      <c r="B841" s="4"/>
    </row>
    <row r="842" spans="2:2">
      <c r="B842" s="4"/>
    </row>
    <row r="843" spans="2:2">
      <c r="B843" s="4"/>
    </row>
    <row r="844" spans="2:2">
      <c r="B844" s="4"/>
    </row>
    <row r="845" spans="2:2">
      <c r="B845" s="4"/>
    </row>
    <row r="846" spans="2:2">
      <c r="B846" s="4"/>
    </row>
    <row r="847" spans="2:2">
      <c r="B847" s="4"/>
    </row>
    <row r="848" spans="2:2">
      <c r="B848" s="4"/>
    </row>
    <row r="849" spans="2:2">
      <c r="B849" s="4"/>
    </row>
    <row r="850" spans="2:2">
      <c r="B850" s="4"/>
    </row>
    <row r="851" spans="2:2">
      <c r="B851" s="4"/>
    </row>
    <row r="852" spans="2:2">
      <c r="B852" s="4"/>
    </row>
    <row r="853" spans="2:2">
      <c r="B853" s="4"/>
    </row>
    <row r="854" spans="2:2">
      <c r="B854" s="4"/>
    </row>
    <row r="855" spans="2:2">
      <c r="B855" s="4"/>
    </row>
    <row r="856" spans="2:2">
      <c r="B856" s="4"/>
    </row>
    <row r="857" spans="2:2">
      <c r="B857" s="4"/>
    </row>
    <row r="858" spans="2:2">
      <c r="B858" s="4"/>
    </row>
    <row r="859" spans="2:2">
      <c r="B859" s="4"/>
    </row>
    <row r="860" spans="2:2">
      <c r="B860" s="4"/>
    </row>
    <row r="861" spans="2:2">
      <c r="B861" s="4"/>
    </row>
    <row r="862" spans="2:2">
      <c r="B862" s="4"/>
    </row>
    <row r="863" spans="2:2">
      <c r="B863" s="4"/>
    </row>
    <row r="864" spans="2:2">
      <c r="B864" s="4"/>
    </row>
    <row r="865" spans="2:2">
      <c r="B865" s="4"/>
    </row>
    <row r="866" spans="2:2">
      <c r="B866" s="4"/>
    </row>
    <row r="867" spans="2:2">
      <c r="B867" s="4"/>
    </row>
    <row r="868" spans="2:2">
      <c r="B868" s="4"/>
    </row>
    <row r="869" spans="2:2">
      <c r="B869" s="4"/>
    </row>
    <row r="870" spans="2:2">
      <c r="B870" s="4"/>
    </row>
    <row r="871" spans="2:2">
      <c r="B871" s="4"/>
    </row>
    <row r="872" spans="2:2">
      <c r="B872" s="4"/>
    </row>
    <row r="873" spans="2:2">
      <c r="B873" s="4"/>
    </row>
    <row r="874" spans="2:2">
      <c r="B874" s="4"/>
    </row>
    <row r="875" spans="2:2">
      <c r="B875" s="4"/>
    </row>
    <row r="876" spans="2:2">
      <c r="B876" s="4"/>
    </row>
    <row r="877" spans="2:2">
      <c r="B877" s="4"/>
    </row>
    <row r="878" spans="2:2">
      <c r="B878" s="4"/>
    </row>
    <row r="879" spans="2:2">
      <c r="B879" s="4"/>
    </row>
    <row r="880" spans="2:2">
      <c r="B880" s="4"/>
    </row>
    <row r="881" spans="2:2">
      <c r="B881" s="4"/>
    </row>
    <row r="882" spans="2:2">
      <c r="B882" s="4"/>
    </row>
    <row r="883" spans="2:2">
      <c r="B883" s="4"/>
    </row>
    <row r="884" spans="2:2">
      <c r="B884" s="4"/>
    </row>
    <row r="885" spans="2:2">
      <c r="B885" s="4"/>
    </row>
    <row r="886" spans="2:2">
      <c r="B886" s="4"/>
    </row>
    <row r="887" spans="2:2">
      <c r="B887" s="4"/>
    </row>
    <row r="888" spans="2:2">
      <c r="B888" s="4"/>
    </row>
    <row r="889" spans="2:2">
      <c r="B889" s="4"/>
    </row>
    <row r="890" spans="2:2">
      <c r="B890" s="4"/>
    </row>
    <row r="891" spans="2:2">
      <c r="B891" s="4"/>
    </row>
    <row r="892" spans="2:2">
      <c r="B892" s="4"/>
    </row>
    <row r="893" spans="2:2">
      <c r="B893" s="4"/>
    </row>
    <row r="894" spans="2:2">
      <c r="B894" s="4"/>
    </row>
    <row r="895" spans="2:2">
      <c r="B895" s="4"/>
    </row>
    <row r="896" spans="2:2">
      <c r="B896" s="4"/>
    </row>
    <row r="897" spans="2:2">
      <c r="B897" s="4"/>
    </row>
    <row r="898" spans="2:2">
      <c r="B898" s="4"/>
    </row>
    <row r="899" spans="2:2">
      <c r="B899" s="4"/>
    </row>
    <row r="900" spans="2:2">
      <c r="B900" s="4"/>
    </row>
    <row r="901" spans="2:2">
      <c r="B901" s="4"/>
    </row>
    <row r="902" spans="2:2">
      <c r="B902" s="4"/>
    </row>
    <row r="903" spans="2:2">
      <c r="B903" s="4"/>
    </row>
    <row r="904" spans="2:2">
      <c r="B904" s="4"/>
    </row>
    <row r="905" spans="2:2">
      <c r="B905" s="4"/>
    </row>
    <row r="906" spans="2:2">
      <c r="B906" s="4"/>
    </row>
    <row r="907" spans="2:2">
      <c r="B907" s="4"/>
    </row>
    <row r="908" spans="2:2">
      <c r="B908" s="4"/>
    </row>
    <row r="909" spans="2:2">
      <c r="B909" s="4"/>
    </row>
    <row r="910" spans="2:2">
      <c r="B910" s="4"/>
    </row>
    <row r="911" spans="2:2">
      <c r="B911" s="4"/>
    </row>
    <row r="912" spans="2:2">
      <c r="B912" s="4"/>
    </row>
    <row r="913" spans="2:2">
      <c r="B913" s="4"/>
    </row>
    <row r="914" spans="2:2">
      <c r="B914" s="4"/>
    </row>
    <row r="915" spans="2:2">
      <c r="B915" s="4"/>
    </row>
    <row r="916" spans="2:2">
      <c r="B916" s="4"/>
    </row>
    <row r="917" spans="2:2">
      <c r="B917" s="4"/>
    </row>
    <row r="918" spans="2:2">
      <c r="B918" s="4"/>
    </row>
    <row r="919" spans="2:2">
      <c r="B919" s="4"/>
    </row>
    <row r="920" spans="2:2">
      <c r="B920" s="4"/>
    </row>
    <row r="921" spans="2:2">
      <c r="B921" s="4"/>
    </row>
    <row r="922" spans="2:2">
      <c r="B922" s="4"/>
    </row>
    <row r="923" spans="2:2">
      <c r="B923" s="4"/>
    </row>
    <row r="924" spans="2:2">
      <c r="B924" s="4"/>
    </row>
    <row r="925" spans="2:2">
      <c r="B925" s="4"/>
    </row>
    <row r="926" spans="2:2">
      <c r="B926" s="4"/>
    </row>
    <row r="927" spans="2:2">
      <c r="B927" s="4"/>
    </row>
    <row r="928" spans="2:2">
      <c r="B928" s="4"/>
    </row>
    <row r="929" spans="2:2">
      <c r="B929" s="4"/>
    </row>
    <row r="930" spans="2:2">
      <c r="B930" s="4"/>
    </row>
    <row r="931" spans="2:2">
      <c r="B931" s="4"/>
    </row>
    <row r="932" spans="2:2">
      <c r="B932" s="4"/>
    </row>
    <row r="933" spans="2:2">
      <c r="B933" s="4"/>
    </row>
    <row r="934" spans="2:2">
      <c r="B934" s="4"/>
    </row>
    <row r="935" spans="2:2">
      <c r="B935" s="4"/>
    </row>
    <row r="936" spans="2:2">
      <c r="B936" s="4"/>
    </row>
    <row r="937" spans="2:2">
      <c r="B937" s="4"/>
    </row>
    <row r="938" spans="2:2">
      <c r="B938" s="4"/>
    </row>
    <row r="939" spans="2:2">
      <c r="B939" s="4"/>
    </row>
    <row r="940" spans="2:2">
      <c r="B940" s="4"/>
    </row>
    <row r="941" spans="2:2">
      <c r="B941" s="4"/>
    </row>
    <row r="942" spans="2:2">
      <c r="B942" s="4"/>
    </row>
    <row r="943" spans="2:2">
      <c r="B943" s="4"/>
    </row>
    <row r="944" spans="2:2">
      <c r="B944" s="4"/>
    </row>
    <row r="945" spans="2:2">
      <c r="B945" s="4"/>
    </row>
    <row r="946" spans="2:2">
      <c r="B946" s="4"/>
    </row>
    <row r="947" spans="2:2">
      <c r="B947" s="4"/>
    </row>
    <row r="948" spans="2:2">
      <c r="B948" s="4"/>
    </row>
    <row r="949" spans="2:2">
      <c r="B949" s="4"/>
    </row>
    <row r="950" spans="2:2">
      <c r="B950" s="4"/>
    </row>
    <row r="951" spans="2:2">
      <c r="B951" s="4"/>
    </row>
    <row r="952" spans="2:2">
      <c r="B952" s="4"/>
    </row>
    <row r="953" spans="2:2">
      <c r="B953" s="4"/>
    </row>
    <row r="954" spans="2:2">
      <c r="B954" s="4"/>
    </row>
    <row r="955" spans="2:2">
      <c r="B955" s="4"/>
    </row>
    <row r="956" spans="2:2">
      <c r="B956" s="4"/>
    </row>
    <row r="957" spans="2:2">
      <c r="B957" s="4"/>
    </row>
    <row r="958" spans="2:2">
      <c r="B958" s="4"/>
    </row>
    <row r="959" spans="2:2">
      <c r="B959" s="4"/>
    </row>
    <row r="960" spans="2:2">
      <c r="B960" s="4"/>
    </row>
    <row r="961" spans="2:2">
      <c r="B961" s="4"/>
    </row>
    <row r="962" ht="14" customHeight="1" spans="2:2">
      <c r="B962" s="4"/>
    </row>
    <row r="963" spans="2:2">
      <c r="B963" s="4"/>
    </row>
    <row r="964" spans="2:2">
      <c r="B964" s="4"/>
    </row>
    <row r="965" spans="2:2">
      <c r="B965" s="4"/>
    </row>
    <row r="966" spans="2:2">
      <c r="B966" s="4"/>
    </row>
    <row r="967" spans="2:2">
      <c r="B967" s="4"/>
    </row>
    <row r="968" spans="2:2">
      <c r="B968" s="4"/>
    </row>
    <row r="969" spans="2:2">
      <c r="B969" s="4"/>
    </row>
    <row r="970" spans="2:2">
      <c r="B970" s="4"/>
    </row>
    <row r="971" spans="2:2">
      <c r="B971" s="4"/>
    </row>
    <row r="972" spans="2:2">
      <c r="B972" s="4"/>
    </row>
    <row r="973" spans="2:2">
      <c r="B973" s="4"/>
    </row>
    <row r="974" spans="2:2">
      <c r="B974" s="4"/>
    </row>
    <row r="975" spans="2:2">
      <c r="B975" s="4"/>
    </row>
    <row r="976" spans="2:2">
      <c r="B976" s="4"/>
    </row>
    <row r="977" spans="2:2">
      <c r="B977" s="4"/>
    </row>
    <row r="978" spans="2:2">
      <c r="B978" s="4"/>
    </row>
    <row r="979" spans="2:2">
      <c r="B979" s="4"/>
    </row>
    <row r="980" spans="2:2">
      <c r="B980" s="4"/>
    </row>
    <row r="981" spans="2:2">
      <c r="B981" s="4"/>
    </row>
    <row r="982" spans="2:2">
      <c r="B982" s="4"/>
    </row>
    <row r="983" spans="2:2">
      <c r="B983" s="4"/>
    </row>
    <row r="984" spans="2:2">
      <c r="B984" s="4"/>
    </row>
    <row r="985" spans="2:2">
      <c r="B985" s="4"/>
    </row>
    <row r="986" spans="2:2">
      <c r="B986" s="4"/>
    </row>
    <row r="987" spans="2:2">
      <c r="B987" s="4"/>
    </row>
    <row r="988" spans="2:2">
      <c r="B988" s="4"/>
    </row>
    <row r="989" spans="2:2">
      <c r="B989" s="4"/>
    </row>
    <row r="990" spans="2:2">
      <c r="B990" s="4"/>
    </row>
    <row r="991" spans="2:2">
      <c r="B991" s="4"/>
    </row>
    <row r="992" spans="2:2">
      <c r="B992" s="4"/>
    </row>
    <row r="993" spans="2:2">
      <c r="B993" s="4"/>
    </row>
    <row r="994" spans="2:2">
      <c r="B994" s="4"/>
    </row>
    <row r="995" spans="2:2">
      <c r="B995" s="4"/>
    </row>
    <row r="996" spans="2:2">
      <c r="B996" s="4"/>
    </row>
    <row r="997" spans="2:2">
      <c r="B997" s="4"/>
    </row>
    <row r="998" spans="2:2">
      <c r="B998" s="4"/>
    </row>
    <row r="999" spans="2:2">
      <c r="B999" s="4"/>
    </row>
    <row r="1000" spans="2:2">
      <c r="B1000" s="4"/>
    </row>
    <row r="1001" spans="2:2">
      <c r="B1001" s="4"/>
    </row>
    <row r="1002" spans="2:2">
      <c r="B1002" s="4"/>
    </row>
    <row r="1003" spans="2:2">
      <c r="B1003" s="4"/>
    </row>
    <row r="1004" spans="2:2">
      <c r="B1004" s="4"/>
    </row>
    <row r="1005" spans="2:2">
      <c r="B1005" s="4"/>
    </row>
    <row r="1006" spans="2:2">
      <c r="B1006" s="4"/>
    </row>
    <row r="1007" spans="2:2">
      <c r="B1007" s="4"/>
    </row>
    <row r="1008" spans="2:2">
      <c r="B1008" s="4"/>
    </row>
    <row r="1009" spans="2:2">
      <c r="B1009" s="4"/>
    </row>
    <row r="1010" spans="2:2">
      <c r="B1010" s="4"/>
    </row>
    <row r="1011" spans="2:2">
      <c r="B1011" s="4"/>
    </row>
    <row r="1012" spans="2:2">
      <c r="B1012" s="4"/>
    </row>
    <row r="1013" spans="2:2">
      <c r="B1013" s="4"/>
    </row>
    <row r="1014" spans="2:2">
      <c r="B1014" s="4"/>
    </row>
    <row r="1015" spans="2:2">
      <c r="B1015" s="4"/>
    </row>
    <row r="1016" spans="2:2">
      <c r="B1016" s="4"/>
    </row>
    <row r="1017" spans="2:2">
      <c r="B1017" s="4"/>
    </row>
    <row r="1018" spans="2:2">
      <c r="B1018" s="4"/>
    </row>
    <row r="1019" spans="2:2">
      <c r="B1019" s="4"/>
    </row>
    <row r="1020" spans="2:2">
      <c r="B1020" s="4"/>
    </row>
    <row r="1021" spans="2:2">
      <c r="B1021" s="4"/>
    </row>
    <row r="1022" spans="2:2">
      <c r="B1022" s="4"/>
    </row>
    <row r="1023" spans="2:2">
      <c r="B1023" s="4"/>
    </row>
    <row r="1024" spans="2:2">
      <c r="B1024" s="4"/>
    </row>
    <row r="1025" spans="2:2">
      <c r="B1025" s="4"/>
    </row>
    <row r="1026" spans="2:2">
      <c r="B1026" s="4"/>
    </row>
    <row r="1027" spans="2:2">
      <c r="B1027" s="4"/>
    </row>
    <row r="1028" spans="2:2">
      <c r="B1028" s="4"/>
    </row>
    <row r="1029" spans="2:2">
      <c r="B1029" s="4"/>
    </row>
    <row r="1030" spans="2:2">
      <c r="B1030" s="4"/>
    </row>
    <row r="1031" spans="2:2">
      <c r="B1031" s="4"/>
    </row>
    <row r="1032" spans="2:2">
      <c r="B1032" s="4"/>
    </row>
    <row r="1033" spans="2:2">
      <c r="B1033" s="4"/>
    </row>
    <row r="1034" spans="2:2">
      <c r="B1034" s="4"/>
    </row>
    <row r="1035" spans="2:2">
      <c r="B1035" s="4"/>
    </row>
    <row r="1036" spans="2:2">
      <c r="B1036" s="4"/>
    </row>
    <row r="1037" spans="2:2">
      <c r="B1037" s="4"/>
    </row>
    <row r="1038" spans="2:2">
      <c r="B1038" s="4"/>
    </row>
    <row r="1039" spans="2:2">
      <c r="B1039" s="4"/>
    </row>
    <row r="1040" spans="2:2">
      <c r="B1040" s="4"/>
    </row>
    <row r="1041" spans="2:2">
      <c r="B1041" s="4"/>
    </row>
    <row r="1042" spans="2:2">
      <c r="B1042" s="4"/>
    </row>
    <row r="1043" spans="2:2">
      <c r="B1043" s="4"/>
    </row>
    <row r="1044" spans="2:2">
      <c r="B1044" s="4"/>
    </row>
    <row r="1045" spans="2:2">
      <c r="B1045" s="4"/>
    </row>
    <row r="1046" spans="2:2">
      <c r="B1046" s="4"/>
    </row>
    <row r="1047" spans="2:2">
      <c r="B1047" s="4"/>
    </row>
    <row r="1048" spans="2:2">
      <c r="B1048" s="4"/>
    </row>
    <row r="1049" spans="2:2">
      <c r="B1049" s="4"/>
    </row>
    <row r="1050" spans="2:2">
      <c r="B1050" s="4"/>
    </row>
    <row r="1051" spans="2:2">
      <c r="B1051" s="4"/>
    </row>
    <row r="1052" spans="2:2">
      <c r="B1052" s="4"/>
    </row>
    <row r="1053" spans="2:2">
      <c r="B1053" s="4"/>
    </row>
    <row r="1054" spans="2:2">
      <c r="B1054" s="4"/>
    </row>
    <row r="1055" spans="2:2">
      <c r="B1055" s="4"/>
    </row>
    <row r="1056" spans="2:2">
      <c r="B1056" s="4"/>
    </row>
    <row r="1057" spans="2:2">
      <c r="B1057" s="4"/>
    </row>
    <row r="1058" spans="2:2">
      <c r="B1058" s="4"/>
    </row>
    <row r="1059" spans="2:2">
      <c r="B1059" s="4"/>
    </row>
    <row r="1060" spans="2:2">
      <c r="B1060" s="4"/>
    </row>
    <row r="1061" spans="2:2">
      <c r="B1061" s="4"/>
    </row>
    <row r="1062" spans="2:2">
      <c r="B1062" s="4"/>
    </row>
    <row r="1063" spans="2:2">
      <c r="B1063" s="4"/>
    </row>
    <row r="1064" spans="2:2">
      <c r="B1064" s="4"/>
    </row>
    <row r="1065" spans="2:2">
      <c r="B1065" s="4"/>
    </row>
    <row r="1066" spans="2:2">
      <c r="B1066" s="4"/>
    </row>
    <row r="1067" spans="2:2">
      <c r="B1067" s="4"/>
    </row>
    <row r="1068" spans="2:2">
      <c r="B1068" s="4"/>
    </row>
    <row r="1069" spans="2:2">
      <c r="B1069" s="4"/>
    </row>
    <row r="1070" spans="2:2">
      <c r="B1070" s="4"/>
    </row>
    <row r="1071" spans="2:2">
      <c r="B1071" s="4"/>
    </row>
    <row r="1072" spans="2:2">
      <c r="B1072" s="4"/>
    </row>
    <row r="1073" spans="2:2">
      <c r="B1073" s="4"/>
    </row>
    <row r="1074" spans="2:2">
      <c r="B1074" s="4"/>
    </row>
    <row r="1075" spans="2:2">
      <c r="B1075" s="4"/>
    </row>
    <row r="1076" spans="2:2">
      <c r="B1076" s="4"/>
    </row>
    <row r="1077" spans="2:2">
      <c r="B1077" s="4"/>
    </row>
    <row r="1078" spans="2:2">
      <c r="B1078" s="4"/>
    </row>
    <row r="1079" spans="2:2">
      <c r="B1079" s="4"/>
    </row>
    <row r="1080" spans="2:2">
      <c r="B1080" s="4"/>
    </row>
    <row r="1081" spans="2:2">
      <c r="B1081" s="4"/>
    </row>
    <row r="1082" spans="2:2">
      <c r="B1082" s="4"/>
    </row>
    <row r="1083" spans="2:2">
      <c r="B1083" s="4"/>
    </row>
    <row r="1084" spans="2:2">
      <c r="B1084" s="4"/>
    </row>
    <row r="1085" spans="2:2">
      <c r="B1085" s="4"/>
    </row>
    <row r="1086" spans="2:2">
      <c r="B1086" s="4"/>
    </row>
    <row r="1087" spans="2:2">
      <c r="B1087" s="4"/>
    </row>
    <row r="1088" spans="2:2">
      <c r="B1088" s="4"/>
    </row>
    <row r="1089" spans="2:2">
      <c r="B1089" s="4"/>
    </row>
    <row r="1090" spans="2:2">
      <c r="B1090" s="4"/>
    </row>
    <row r="1091" spans="2:2">
      <c r="B1091" s="4"/>
    </row>
    <row r="1092" spans="2:2">
      <c r="B1092" s="4"/>
    </row>
    <row r="1093" spans="2:2">
      <c r="B1093" s="4"/>
    </row>
    <row r="1094" spans="2:2">
      <c r="B1094" s="4"/>
    </row>
    <row r="1095" spans="2:2">
      <c r="B1095" s="4"/>
    </row>
    <row r="1096" spans="2:2">
      <c r="B1096" s="4"/>
    </row>
    <row r="1097" spans="2:2">
      <c r="B1097" s="4"/>
    </row>
    <row r="1098" spans="2:2">
      <c r="B1098" s="4"/>
    </row>
    <row r="1099" spans="2:2">
      <c r="B1099" s="4"/>
    </row>
    <row r="1100" spans="2:2">
      <c r="B1100" s="4"/>
    </row>
    <row r="1101" spans="2:2">
      <c r="B1101" s="4"/>
    </row>
    <row r="1102" spans="2:2">
      <c r="B1102" s="4"/>
    </row>
    <row r="1103" spans="2:2">
      <c r="B1103" s="4"/>
    </row>
    <row r="1104" spans="2:2">
      <c r="B1104" s="4"/>
    </row>
    <row r="1105" spans="2:2">
      <c r="B1105" s="4"/>
    </row>
    <row r="1106" spans="2:2">
      <c r="B1106" s="4"/>
    </row>
    <row r="1107" spans="2:2">
      <c r="B1107" s="4"/>
    </row>
    <row r="1108" spans="2:2">
      <c r="B1108" s="4"/>
    </row>
    <row r="1109" spans="2:2">
      <c r="B1109" s="4"/>
    </row>
    <row r="1110" spans="2:2">
      <c r="B1110" s="4"/>
    </row>
    <row r="1111" spans="2:2">
      <c r="B1111" s="4"/>
    </row>
    <row r="1112" spans="2:2">
      <c r="B1112" s="4"/>
    </row>
    <row r="1113" spans="2:2">
      <c r="B1113" s="4"/>
    </row>
    <row r="1114" spans="2:2">
      <c r="B1114" s="4"/>
    </row>
    <row r="1115" spans="2:2">
      <c r="B1115" s="4"/>
    </row>
    <row r="1116" spans="2:2">
      <c r="B1116" s="4"/>
    </row>
    <row r="1117" spans="2:2">
      <c r="B1117" s="4"/>
    </row>
    <row r="1118" spans="2:2">
      <c r="B1118" s="4"/>
    </row>
    <row r="1119" spans="2:2">
      <c r="B1119" s="4"/>
    </row>
    <row r="1120" spans="2:2">
      <c r="B1120" s="4"/>
    </row>
    <row r="1121" spans="2:2">
      <c r="B1121" s="4"/>
    </row>
    <row r="1122" spans="2:2">
      <c r="B1122" s="4"/>
    </row>
    <row r="1123" spans="2:2">
      <c r="B1123" s="4"/>
    </row>
    <row r="1124" spans="2:2">
      <c r="B1124" s="4"/>
    </row>
    <row r="1125" spans="2:2">
      <c r="B1125" s="4"/>
    </row>
    <row r="1126" spans="2:2">
      <c r="B1126" s="4"/>
    </row>
    <row r="1127" spans="2:2">
      <c r="B1127" s="4"/>
    </row>
    <row r="1128" spans="2:2">
      <c r="B1128" s="4"/>
    </row>
    <row r="1129" spans="2:2">
      <c r="B1129" s="4"/>
    </row>
    <row r="1130" spans="2:2">
      <c r="B1130" s="4"/>
    </row>
    <row r="1131" spans="2:2">
      <c r="B1131" s="4"/>
    </row>
    <row r="1132" spans="2:2">
      <c r="B1132" s="4"/>
    </row>
    <row r="1133" spans="2:2">
      <c r="B1133" s="4"/>
    </row>
    <row r="1134" spans="2:2">
      <c r="B1134" s="4"/>
    </row>
    <row r="1135" spans="2:2">
      <c r="B1135" s="4"/>
    </row>
    <row r="1136" spans="2:2">
      <c r="B1136" s="4"/>
    </row>
    <row r="1137" spans="2:2">
      <c r="B1137" s="4"/>
    </row>
    <row r="1138" spans="2:2">
      <c r="B1138" s="4"/>
    </row>
    <row r="1139" spans="2:2">
      <c r="B1139" s="4"/>
    </row>
    <row r="1140" spans="2:2">
      <c r="B1140" s="4"/>
    </row>
    <row r="1141" spans="2:2">
      <c r="B1141" s="4"/>
    </row>
    <row r="1142" spans="2:2">
      <c r="B1142" s="4"/>
    </row>
    <row r="1143" spans="2:2">
      <c r="B1143" s="4"/>
    </row>
    <row r="1144" spans="2:2">
      <c r="B1144" s="4"/>
    </row>
    <row r="1145" spans="2:2">
      <c r="B1145" s="4"/>
    </row>
    <row r="1146" spans="2:2">
      <c r="B1146" s="4"/>
    </row>
    <row r="1147" spans="2:2">
      <c r="B1147" s="4"/>
    </row>
    <row r="1148" spans="2:2">
      <c r="B1148" s="4"/>
    </row>
    <row r="1149" spans="2:2">
      <c r="B1149" s="4"/>
    </row>
    <row r="1150" spans="2:2">
      <c r="B1150" s="4"/>
    </row>
    <row r="1151" spans="2:2">
      <c r="B1151" s="4"/>
    </row>
    <row r="1152" spans="2:2">
      <c r="B1152" s="4"/>
    </row>
    <row r="1153" spans="2:2">
      <c r="B1153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7"/>
  <sheetViews>
    <sheetView workbookViewId="0">
      <selection activeCell="R10" sqref="R10"/>
    </sheetView>
  </sheetViews>
  <sheetFormatPr defaultColWidth="9" defaultRowHeight="13.5"/>
  <cols>
    <col min="1" max="1" width="16" customWidth="1"/>
    <col min="2" max="2" width="11.625" customWidth="1"/>
    <col min="3" max="3" width="11.25" customWidth="1"/>
    <col min="4" max="5" width="12.625" hidden="1" customWidth="1"/>
    <col min="6" max="6" width="9.75" customWidth="1"/>
    <col min="7" max="9" width="13.75"/>
    <col min="10" max="10" width="12.625" hidden="1" customWidth="1"/>
    <col min="11" max="12" width="12.625"/>
    <col min="13" max="15" width="12.625" hidden="1" customWidth="1"/>
    <col min="16" max="16" width="11.5"/>
    <col min="17" max="17" width="14.375" customWidth="1"/>
  </cols>
  <sheetData>
    <row r="1" spans="2:17">
      <c r="B1" s="7" t="s">
        <v>21</v>
      </c>
      <c r="C1" s="7" t="s">
        <v>22</v>
      </c>
      <c r="D1" s="7" t="s">
        <v>23</v>
      </c>
      <c r="E1" s="7" t="s">
        <v>24</v>
      </c>
      <c r="G1" s="3" t="s">
        <v>25</v>
      </c>
      <c r="H1" s="3" t="s">
        <v>26</v>
      </c>
      <c r="I1" s="3"/>
      <c r="J1" s="3" t="s">
        <v>27</v>
      </c>
      <c r="K1" s="3" t="s">
        <v>28</v>
      </c>
      <c r="L1" s="3" t="s">
        <v>29</v>
      </c>
      <c r="P1" s="5" t="s">
        <v>30</v>
      </c>
      <c r="Q1" t="s">
        <v>12</v>
      </c>
    </row>
    <row r="2" spans="1:17">
      <c r="A2" s="4">
        <v>44361</v>
      </c>
      <c r="B2">
        <v>0</v>
      </c>
      <c r="C2">
        <v>0</v>
      </c>
      <c r="D2">
        <f>AVERAGE(B:B)</f>
        <v>7.35930645833333</v>
      </c>
      <c r="E2">
        <f>AVERAGE(C:C)</f>
        <v>7.47344241666667</v>
      </c>
      <c r="G2">
        <f>B2-$D$2</f>
        <v>-7.35930645833333</v>
      </c>
      <c r="H2">
        <f>C2-$E$2</f>
        <v>-7.47344241666667</v>
      </c>
      <c r="I2">
        <f>G2*H2</f>
        <v>54.9993530429573</v>
      </c>
      <c r="J2">
        <f>SUM(I:I)</f>
        <v>8503.74251297519</v>
      </c>
      <c r="K2">
        <f>G2*G2</f>
        <v>54.1593915476667</v>
      </c>
      <c r="L2">
        <f>H2*H2</f>
        <v>55.8523415552325</v>
      </c>
      <c r="M2">
        <f>SUM(K:K)</f>
        <v>8369.40869494638</v>
      </c>
      <c r="N2">
        <f>SUM(L:L)</f>
        <v>8716.20926774019</v>
      </c>
      <c r="O2">
        <f>SQRT(M2*N2)</f>
        <v>8541.04897728593</v>
      </c>
      <c r="P2" s="6">
        <f>J2/O2</f>
        <v>0.995632098070161</v>
      </c>
      <c r="Q2">
        <v>1</v>
      </c>
    </row>
    <row r="3" spans="1:12">
      <c r="A3" s="4">
        <v>44361.0104166667</v>
      </c>
      <c r="B3">
        <v>0</v>
      </c>
      <c r="C3">
        <v>0</v>
      </c>
      <c r="G3">
        <f t="shared" ref="G3:G39" si="0">B3-$D$2</f>
        <v>-7.35930645833333</v>
      </c>
      <c r="H3">
        <f t="shared" ref="H3:H39" si="1">C3-$E$2</f>
        <v>-7.47344241666667</v>
      </c>
      <c r="I3">
        <f t="shared" ref="I3:I39" si="2">G3*H3</f>
        <v>54.9993530429573</v>
      </c>
      <c r="K3">
        <f t="shared" ref="K3:K39" si="3">G3*G3</f>
        <v>54.1593915476667</v>
      </c>
      <c r="L3">
        <f t="shared" ref="L3:L39" si="4">H3*H3</f>
        <v>55.8523415552325</v>
      </c>
    </row>
    <row r="4" spans="1:12">
      <c r="A4" s="4">
        <v>44361.0208333333</v>
      </c>
      <c r="B4">
        <v>0</v>
      </c>
      <c r="C4">
        <v>0</v>
      </c>
      <c r="G4">
        <f t="shared" si="0"/>
        <v>-7.35930645833333</v>
      </c>
      <c r="H4">
        <f t="shared" si="1"/>
        <v>-7.47344241666667</v>
      </c>
      <c r="I4">
        <f t="shared" si="2"/>
        <v>54.9993530429573</v>
      </c>
      <c r="K4">
        <f t="shared" si="3"/>
        <v>54.1593915476667</v>
      </c>
      <c r="L4">
        <f t="shared" si="4"/>
        <v>55.8523415552325</v>
      </c>
    </row>
    <row r="5" spans="1:12">
      <c r="A5" s="4">
        <v>44361.03125</v>
      </c>
      <c r="B5">
        <v>0</v>
      </c>
      <c r="C5">
        <v>0</v>
      </c>
      <c r="G5">
        <f t="shared" si="0"/>
        <v>-7.35930645833333</v>
      </c>
      <c r="H5">
        <f t="shared" si="1"/>
        <v>-7.47344241666667</v>
      </c>
      <c r="I5">
        <f t="shared" si="2"/>
        <v>54.9993530429573</v>
      </c>
      <c r="K5">
        <f t="shared" si="3"/>
        <v>54.1593915476667</v>
      </c>
      <c r="L5">
        <f t="shared" si="4"/>
        <v>55.8523415552325</v>
      </c>
    </row>
    <row r="6" spans="1:12">
      <c r="A6" s="4">
        <v>44361.0416666667</v>
      </c>
      <c r="B6">
        <v>0</v>
      </c>
      <c r="C6">
        <v>0</v>
      </c>
      <c r="G6">
        <f t="shared" si="0"/>
        <v>-7.35930645833333</v>
      </c>
      <c r="H6">
        <f t="shared" si="1"/>
        <v>-7.47344241666667</v>
      </c>
      <c r="I6">
        <f t="shared" si="2"/>
        <v>54.9993530429573</v>
      </c>
      <c r="K6">
        <f t="shared" si="3"/>
        <v>54.1593915476667</v>
      </c>
      <c r="L6">
        <f t="shared" si="4"/>
        <v>55.8523415552325</v>
      </c>
    </row>
    <row r="7" spans="1:12">
      <c r="A7" s="4">
        <v>44361.0520833333</v>
      </c>
      <c r="B7">
        <v>0</v>
      </c>
      <c r="C7">
        <v>0</v>
      </c>
      <c r="G7">
        <f t="shared" si="0"/>
        <v>-7.35930645833333</v>
      </c>
      <c r="H7">
        <f t="shared" si="1"/>
        <v>-7.47344241666667</v>
      </c>
      <c r="I7">
        <f t="shared" si="2"/>
        <v>54.9993530429573</v>
      </c>
      <c r="K7">
        <f t="shared" si="3"/>
        <v>54.1593915476667</v>
      </c>
      <c r="L7">
        <f t="shared" si="4"/>
        <v>55.8523415552325</v>
      </c>
    </row>
    <row r="8" spans="1:12">
      <c r="A8" s="4">
        <v>44361.0625</v>
      </c>
      <c r="B8">
        <v>0</v>
      </c>
      <c r="C8">
        <v>0</v>
      </c>
      <c r="G8">
        <f t="shared" si="0"/>
        <v>-7.35930645833333</v>
      </c>
      <c r="H8">
        <f t="shared" si="1"/>
        <v>-7.47344241666667</v>
      </c>
      <c r="I8">
        <f t="shared" si="2"/>
        <v>54.9993530429573</v>
      </c>
      <c r="K8">
        <f t="shared" si="3"/>
        <v>54.1593915476667</v>
      </c>
      <c r="L8">
        <f t="shared" si="4"/>
        <v>55.8523415552325</v>
      </c>
    </row>
    <row r="9" spans="1:12">
      <c r="A9" s="4">
        <v>44361.0729166667</v>
      </c>
      <c r="B9">
        <v>0</v>
      </c>
      <c r="C9">
        <v>0</v>
      </c>
      <c r="G9">
        <f t="shared" si="0"/>
        <v>-7.35930645833333</v>
      </c>
      <c r="H9">
        <f t="shared" si="1"/>
        <v>-7.47344241666667</v>
      </c>
      <c r="I9">
        <f t="shared" si="2"/>
        <v>54.9993530429573</v>
      </c>
      <c r="K9">
        <f t="shared" si="3"/>
        <v>54.1593915476667</v>
      </c>
      <c r="L9">
        <f t="shared" si="4"/>
        <v>55.8523415552325</v>
      </c>
    </row>
    <row r="10" spans="1:12">
      <c r="A10" s="4">
        <v>44361.0833333333</v>
      </c>
      <c r="B10">
        <v>0</v>
      </c>
      <c r="C10">
        <v>0</v>
      </c>
      <c r="G10">
        <f t="shared" si="0"/>
        <v>-7.35930645833333</v>
      </c>
      <c r="H10">
        <f t="shared" si="1"/>
        <v>-7.47344241666667</v>
      </c>
      <c r="I10">
        <f t="shared" si="2"/>
        <v>54.9993530429573</v>
      </c>
      <c r="K10">
        <f t="shared" si="3"/>
        <v>54.1593915476667</v>
      </c>
      <c r="L10">
        <f t="shared" si="4"/>
        <v>55.8523415552325</v>
      </c>
    </row>
    <row r="11" spans="1:12">
      <c r="A11" s="4">
        <v>44361.09375</v>
      </c>
      <c r="B11">
        <v>0</v>
      </c>
      <c r="C11">
        <v>0</v>
      </c>
      <c r="G11">
        <f t="shared" si="0"/>
        <v>-7.35930645833333</v>
      </c>
      <c r="H11">
        <f t="shared" si="1"/>
        <v>-7.47344241666667</v>
      </c>
      <c r="I11">
        <f t="shared" si="2"/>
        <v>54.9993530429573</v>
      </c>
      <c r="K11">
        <f t="shared" si="3"/>
        <v>54.1593915476667</v>
      </c>
      <c r="L11">
        <f t="shared" si="4"/>
        <v>55.8523415552325</v>
      </c>
    </row>
    <row r="12" spans="1:12">
      <c r="A12" s="4">
        <v>44361.1041666667</v>
      </c>
      <c r="B12">
        <v>0</v>
      </c>
      <c r="C12">
        <v>0</v>
      </c>
      <c r="G12">
        <f t="shared" si="0"/>
        <v>-7.35930645833333</v>
      </c>
      <c r="H12">
        <f t="shared" si="1"/>
        <v>-7.47344241666667</v>
      </c>
      <c r="I12">
        <f t="shared" si="2"/>
        <v>54.9993530429573</v>
      </c>
      <c r="K12">
        <f t="shared" si="3"/>
        <v>54.1593915476667</v>
      </c>
      <c r="L12">
        <f t="shared" si="4"/>
        <v>55.8523415552325</v>
      </c>
    </row>
    <row r="13" spans="1:12">
      <c r="A13" s="4">
        <v>44361.1145833333</v>
      </c>
      <c r="B13">
        <v>0</v>
      </c>
      <c r="C13">
        <v>0</v>
      </c>
      <c r="G13">
        <f t="shared" si="0"/>
        <v>-7.35930645833333</v>
      </c>
      <c r="H13">
        <f t="shared" si="1"/>
        <v>-7.47344241666667</v>
      </c>
      <c r="I13">
        <f t="shared" si="2"/>
        <v>54.9993530429573</v>
      </c>
      <c r="K13">
        <f t="shared" si="3"/>
        <v>54.1593915476667</v>
      </c>
      <c r="L13">
        <f t="shared" si="4"/>
        <v>55.8523415552325</v>
      </c>
    </row>
    <row r="14" spans="1:12">
      <c r="A14" s="4">
        <v>44361.125</v>
      </c>
      <c r="B14">
        <v>0</v>
      </c>
      <c r="C14">
        <v>0</v>
      </c>
      <c r="G14">
        <f t="shared" si="0"/>
        <v>-7.35930645833333</v>
      </c>
      <c r="H14">
        <f t="shared" si="1"/>
        <v>-7.47344241666667</v>
      </c>
      <c r="I14">
        <f t="shared" si="2"/>
        <v>54.9993530429573</v>
      </c>
      <c r="K14">
        <f t="shared" si="3"/>
        <v>54.1593915476667</v>
      </c>
      <c r="L14">
        <f t="shared" si="4"/>
        <v>55.8523415552325</v>
      </c>
    </row>
    <row r="15" spans="1:12">
      <c r="A15" s="4">
        <v>44361.1354166667</v>
      </c>
      <c r="B15">
        <v>0</v>
      </c>
      <c r="C15">
        <v>0</v>
      </c>
      <c r="G15">
        <f t="shared" si="0"/>
        <v>-7.35930645833333</v>
      </c>
      <c r="H15">
        <f t="shared" si="1"/>
        <v>-7.47344241666667</v>
      </c>
      <c r="I15">
        <f t="shared" si="2"/>
        <v>54.9993530429573</v>
      </c>
      <c r="K15">
        <f t="shared" si="3"/>
        <v>54.1593915476667</v>
      </c>
      <c r="L15">
        <f t="shared" si="4"/>
        <v>55.8523415552325</v>
      </c>
    </row>
    <row r="16" spans="1:12">
      <c r="A16" s="4">
        <v>44361.1458333333</v>
      </c>
      <c r="B16">
        <v>0</v>
      </c>
      <c r="C16">
        <v>0</v>
      </c>
      <c r="G16">
        <f t="shared" si="0"/>
        <v>-7.35930645833333</v>
      </c>
      <c r="H16">
        <f t="shared" si="1"/>
        <v>-7.47344241666667</v>
      </c>
      <c r="I16">
        <f t="shared" si="2"/>
        <v>54.9993530429573</v>
      </c>
      <c r="K16">
        <f t="shared" si="3"/>
        <v>54.1593915476667</v>
      </c>
      <c r="L16">
        <f t="shared" si="4"/>
        <v>55.8523415552325</v>
      </c>
    </row>
    <row r="17" spans="1:12">
      <c r="A17" s="4">
        <v>44361.15625</v>
      </c>
      <c r="B17">
        <v>0</v>
      </c>
      <c r="C17">
        <v>0</v>
      </c>
      <c r="G17">
        <f t="shared" si="0"/>
        <v>-7.35930645833333</v>
      </c>
      <c r="H17">
        <f t="shared" si="1"/>
        <v>-7.47344241666667</v>
      </c>
      <c r="I17">
        <f t="shared" si="2"/>
        <v>54.9993530429573</v>
      </c>
      <c r="K17">
        <f t="shared" si="3"/>
        <v>54.1593915476667</v>
      </c>
      <c r="L17">
        <f t="shared" si="4"/>
        <v>55.8523415552325</v>
      </c>
    </row>
    <row r="18" spans="1:12">
      <c r="A18" s="4">
        <v>44361.1666666667</v>
      </c>
      <c r="B18">
        <v>0</v>
      </c>
      <c r="C18">
        <v>0</v>
      </c>
      <c r="G18">
        <f t="shared" si="0"/>
        <v>-7.35930645833333</v>
      </c>
      <c r="H18">
        <f t="shared" si="1"/>
        <v>-7.47344241666667</v>
      </c>
      <c r="I18">
        <f t="shared" si="2"/>
        <v>54.9993530429573</v>
      </c>
      <c r="K18">
        <f t="shared" si="3"/>
        <v>54.1593915476667</v>
      </c>
      <c r="L18">
        <f t="shared" si="4"/>
        <v>55.8523415552325</v>
      </c>
    </row>
    <row r="19" spans="1:12">
      <c r="A19" s="4">
        <v>44361.1770833333</v>
      </c>
      <c r="B19">
        <v>0</v>
      </c>
      <c r="C19">
        <v>0</v>
      </c>
      <c r="G19">
        <f t="shared" si="0"/>
        <v>-7.35930645833333</v>
      </c>
      <c r="H19">
        <f t="shared" si="1"/>
        <v>-7.47344241666667</v>
      </c>
      <c r="I19">
        <f t="shared" si="2"/>
        <v>54.9993530429573</v>
      </c>
      <c r="K19">
        <f t="shared" si="3"/>
        <v>54.1593915476667</v>
      </c>
      <c r="L19">
        <f t="shared" si="4"/>
        <v>55.8523415552325</v>
      </c>
    </row>
    <row r="20" spans="1:12">
      <c r="A20" s="4">
        <v>44361.1875</v>
      </c>
      <c r="B20">
        <v>0</v>
      </c>
      <c r="C20">
        <v>0</v>
      </c>
      <c r="G20">
        <f t="shared" si="0"/>
        <v>-7.35930645833333</v>
      </c>
      <c r="H20">
        <f t="shared" si="1"/>
        <v>-7.47344241666667</v>
      </c>
      <c r="I20">
        <f t="shared" si="2"/>
        <v>54.9993530429573</v>
      </c>
      <c r="K20">
        <f t="shared" si="3"/>
        <v>54.1593915476667</v>
      </c>
      <c r="L20">
        <f t="shared" si="4"/>
        <v>55.8523415552325</v>
      </c>
    </row>
    <row r="21" spans="1:12">
      <c r="A21" s="4">
        <v>44361.1979166667</v>
      </c>
      <c r="B21">
        <v>0</v>
      </c>
      <c r="C21">
        <v>0</v>
      </c>
      <c r="G21">
        <f t="shared" si="0"/>
        <v>-7.35930645833333</v>
      </c>
      <c r="H21">
        <f t="shared" si="1"/>
        <v>-7.47344241666667</v>
      </c>
      <c r="I21">
        <f t="shared" si="2"/>
        <v>54.9993530429573</v>
      </c>
      <c r="K21">
        <f t="shared" si="3"/>
        <v>54.1593915476667</v>
      </c>
      <c r="L21">
        <f t="shared" si="4"/>
        <v>55.8523415552325</v>
      </c>
    </row>
    <row r="22" spans="1:12">
      <c r="A22" s="4">
        <v>44361.2083333333</v>
      </c>
      <c r="B22">
        <v>0</v>
      </c>
      <c r="C22">
        <v>0</v>
      </c>
      <c r="G22">
        <f t="shared" si="0"/>
        <v>-7.35930645833333</v>
      </c>
      <c r="H22">
        <f t="shared" si="1"/>
        <v>-7.47344241666667</v>
      </c>
      <c r="I22">
        <f t="shared" si="2"/>
        <v>54.9993530429573</v>
      </c>
      <c r="K22">
        <f t="shared" si="3"/>
        <v>54.1593915476667</v>
      </c>
      <c r="L22">
        <f t="shared" si="4"/>
        <v>55.8523415552325</v>
      </c>
    </row>
    <row r="23" spans="1:12">
      <c r="A23" s="4">
        <v>44361.21875</v>
      </c>
      <c r="B23">
        <v>0</v>
      </c>
      <c r="C23">
        <v>0</v>
      </c>
      <c r="G23">
        <f t="shared" si="0"/>
        <v>-7.35930645833333</v>
      </c>
      <c r="H23">
        <f t="shared" si="1"/>
        <v>-7.47344241666667</v>
      </c>
      <c r="I23">
        <f t="shared" si="2"/>
        <v>54.9993530429573</v>
      </c>
      <c r="K23">
        <f t="shared" si="3"/>
        <v>54.1593915476667</v>
      </c>
      <c r="L23">
        <f t="shared" si="4"/>
        <v>55.8523415552325</v>
      </c>
    </row>
    <row r="24" spans="1:12">
      <c r="A24" s="4">
        <v>44361.2291666667</v>
      </c>
      <c r="B24">
        <v>0</v>
      </c>
      <c r="C24">
        <v>0</v>
      </c>
      <c r="G24">
        <f t="shared" si="0"/>
        <v>-7.35930645833333</v>
      </c>
      <c r="H24">
        <f t="shared" si="1"/>
        <v>-7.47344241666667</v>
      </c>
      <c r="I24">
        <f t="shared" si="2"/>
        <v>54.9993530429573</v>
      </c>
      <c r="K24">
        <f t="shared" si="3"/>
        <v>54.1593915476667</v>
      </c>
      <c r="L24">
        <f t="shared" si="4"/>
        <v>55.8523415552325</v>
      </c>
    </row>
    <row r="25" spans="1:12">
      <c r="A25" s="4">
        <v>44361.2395833333</v>
      </c>
      <c r="B25">
        <v>0</v>
      </c>
      <c r="C25">
        <v>0</v>
      </c>
      <c r="G25">
        <f t="shared" si="0"/>
        <v>-7.35930645833333</v>
      </c>
      <c r="H25">
        <f t="shared" si="1"/>
        <v>-7.47344241666667</v>
      </c>
      <c r="I25">
        <f t="shared" si="2"/>
        <v>54.9993530429573</v>
      </c>
      <c r="K25">
        <f t="shared" si="3"/>
        <v>54.1593915476667</v>
      </c>
      <c r="L25">
        <f t="shared" si="4"/>
        <v>55.8523415552325</v>
      </c>
    </row>
    <row r="26" spans="1:12">
      <c r="A26" s="4">
        <v>44361.25</v>
      </c>
      <c r="B26">
        <v>0</v>
      </c>
      <c r="C26">
        <v>0</v>
      </c>
      <c r="G26">
        <f t="shared" si="0"/>
        <v>-7.35930645833333</v>
      </c>
      <c r="H26">
        <f t="shared" si="1"/>
        <v>-7.47344241666667</v>
      </c>
      <c r="I26">
        <f t="shared" si="2"/>
        <v>54.9993530429573</v>
      </c>
      <c r="K26">
        <f t="shared" si="3"/>
        <v>54.1593915476667</v>
      </c>
      <c r="L26">
        <f t="shared" si="4"/>
        <v>55.8523415552325</v>
      </c>
    </row>
    <row r="27" spans="1:12">
      <c r="A27" s="4">
        <v>44361.2604166667</v>
      </c>
      <c r="B27">
        <v>0</v>
      </c>
      <c r="C27">
        <v>0</v>
      </c>
      <c r="G27">
        <f t="shared" si="0"/>
        <v>-7.35930645833333</v>
      </c>
      <c r="H27">
        <f t="shared" si="1"/>
        <v>-7.47344241666667</v>
      </c>
      <c r="I27">
        <f t="shared" si="2"/>
        <v>54.9993530429573</v>
      </c>
      <c r="K27">
        <f t="shared" si="3"/>
        <v>54.1593915476667</v>
      </c>
      <c r="L27">
        <f t="shared" si="4"/>
        <v>55.8523415552325</v>
      </c>
    </row>
    <row r="28" spans="1:12">
      <c r="A28" s="4">
        <v>44361.2708333333</v>
      </c>
      <c r="B28">
        <v>0</v>
      </c>
      <c r="C28">
        <v>0</v>
      </c>
      <c r="G28">
        <f t="shared" si="0"/>
        <v>-7.35930645833333</v>
      </c>
      <c r="H28">
        <f t="shared" si="1"/>
        <v>-7.47344241666667</v>
      </c>
      <c r="I28">
        <f t="shared" si="2"/>
        <v>54.9993530429573</v>
      </c>
      <c r="K28">
        <f t="shared" si="3"/>
        <v>54.1593915476667</v>
      </c>
      <c r="L28">
        <f t="shared" si="4"/>
        <v>55.8523415552325</v>
      </c>
    </row>
    <row r="29" spans="1:12">
      <c r="A29" s="4">
        <v>44361.28125</v>
      </c>
      <c r="B29">
        <v>0</v>
      </c>
      <c r="C29">
        <v>0</v>
      </c>
      <c r="G29">
        <f t="shared" si="0"/>
        <v>-7.35930645833333</v>
      </c>
      <c r="H29">
        <f t="shared" si="1"/>
        <v>-7.47344241666667</v>
      </c>
      <c r="I29">
        <f t="shared" si="2"/>
        <v>54.9993530429573</v>
      </c>
      <c r="K29">
        <f t="shared" si="3"/>
        <v>54.1593915476667</v>
      </c>
      <c r="L29">
        <f t="shared" si="4"/>
        <v>55.8523415552325</v>
      </c>
    </row>
    <row r="30" spans="1:12">
      <c r="A30" s="4">
        <v>44361.2916666667</v>
      </c>
      <c r="B30">
        <v>0</v>
      </c>
      <c r="C30">
        <v>0</v>
      </c>
      <c r="G30">
        <f t="shared" si="0"/>
        <v>-7.35930645833333</v>
      </c>
      <c r="H30">
        <f t="shared" si="1"/>
        <v>-7.47344241666667</v>
      </c>
      <c r="I30">
        <f t="shared" si="2"/>
        <v>54.9993530429573</v>
      </c>
      <c r="K30">
        <f t="shared" si="3"/>
        <v>54.1593915476667</v>
      </c>
      <c r="L30">
        <f t="shared" si="4"/>
        <v>55.8523415552325</v>
      </c>
    </row>
    <row r="31" spans="1:12">
      <c r="A31" s="4">
        <v>44361.3020833333</v>
      </c>
      <c r="B31">
        <v>0</v>
      </c>
      <c r="C31">
        <v>1.051575</v>
      </c>
      <c r="G31">
        <f t="shared" si="0"/>
        <v>-7.35930645833333</v>
      </c>
      <c r="H31">
        <f t="shared" si="1"/>
        <v>-6.42186741666667</v>
      </c>
      <c r="I31">
        <f t="shared" si="2"/>
        <v>47.2604903540354</v>
      </c>
      <c r="K31">
        <f t="shared" si="3"/>
        <v>54.1593915476667</v>
      </c>
      <c r="L31">
        <f t="shared" si="4"/>
        <v>41.240381117245</v>
      </c>
    </row>
    <row r="32" spans="1:12">
      <c r="A32" s="4">
        <v>44361.3125</v>
      </c>
      <c r="B32">
        <v>1.012162</v>
      </c>
      <c r="C32">
        <v>1.548981</v>
      </c>
      <c r="G32">
        <f t="shared" si="0"/>
        <v>-6.34714445833333</v>
      </c>
      <c r="H32">
        <f t="shared" si="1"/>
        <v>-5.92446141666667</v>
      </c>
      <c r="I32">
        <f t="shared" si="2"/>
        <v>37.6034124494055</v>
      </c>
      <c r="K32">
        <f t="shared" si="3"/>
        <v>40.2862427749515</v>
      </c>
      <c r="L32">
        <f t="shared" si="4"/>
        <v>35.099243077572</v>
      </c>
    </row>
    <row r="33" spans="1:12">
      <c r="A33" s="4">
        <v>44361.3229166667</v>
      </c>
      <c r="B33">
        <v>1.520407</v>
      </c>
      <c r="C33">
        <v>2.252276</v>
      </c>
      <c r="G33">
        <f t="shared" si="0"/>
        <v>-5.83889945833333</v>
      </c>
      <c r="H33">
        <f t="shared" si="1"/>
        <v>-5.22116641666667</v>
      </c>
      <c r="I33">
        <f t="shared" si="2"/>
        <v>30.4858657621432</v>
      </c>
      <c r="K33">
        <f t="shared" si="3"/>
        <v>34.0927468845253</v>
      </c>
      <c r="L33">
        <f t="shared" si="4"/>
        <v>27.2605787505278</v>
      </c>
    </row>
    <row r="34" spans="1:12">
      <c r="A34" s="4">
        <v>44361.3333333333</v>
      </c>
      <c r="B34">
        <v>2.147789</v>
      </c>
      <c r="C34">
        <v>3.122015</v>
      </c>
      <c r="G34">
        <f t="shared" si="0"/>
        <v>-5.21151745833333</v>
      </c>
      <c r="H34">
        <f t="shared" si="1"/>
        <v>-4.35142741666667</v>
      </c>
      <c r="I34">
        <f t="shared" si="2"/>
        <v>22.6775399506286</v>
      </c>
      <c r="K34">
        <f t="shared" si="3"/>
        <v>27.1599142185131</v>
      </c>
      <c r="L34">
        <f t="shared" si="4"/>
        <v>18.9349205625183</v>
      </c>
    </row>
    <row r="35" spans="1:12">
      <c r="A35" s="4">
        <v>44361.34375</v>
      </c>
      <c r="B35">
        <v>3.027694</v>
      </c>
      <c r="C35">
        <v>4.116826</v>
      </c>
      <c r="G35">
        <f t="shared" si="0"/>
        <v>-4.33161245833333</v>
      </c>
      <c r="H35">
        <f t="shared" si="1"/>
        <v>-3.35661641666667</v>
      </c>
      <c r="I35">
        <f t="shared" si="2"/>
        <v>14.5395614882795</v>
      </c>
      <c r="K35">
        <f t="shared" si="3"/>
        <v>18.7628664891885</v>
      </c>
      <c r="L35">
        <f t="shared" si="4"/>
        <v>11.2668737686362</v>
      </c>
    </row>
    <row r="36" spans="1:12">
      <c r="A36" s="4">
        <v>44361.3541666667</v>
      </c>
      <c r="B36">
        <v>4.167875</v>
      </c>
      <c r="C36">
        <v>5.197264</v>
      </c>
      <c r="G36">
        <f t="shared" si="0"/>
        <v>-3.19143145833333</v>
      </c>
      <c r="H36">
        <f t="shared" si="1"/>
        <v>-2.27617841666667</v>
      </c>
      <c r="I36">
        <f t="shared" si="2"/>
        <v>7.26426740372936</v>
      </c>
      <c r="K36">
        <f t="shared" si="3"/>
        <v>10.1852347532396</v>
      </c>
      <c r="L36">
        <f t="shared" si="4"/>
        <v>5.18098818449918</v>
      </c>
    </row>
    <row r="37" spans="1:12">
      <c r="A37" s="4">
        <v>44361.3645833333</v>
      </c>
      <c r="B37">
        <v>5.303651</v>
      </c>
      <c r="C37">
        <v>6.32292</v>
      </c>
      <c r="G37">
        <f t="shared" si="0"/>
        <v>-2.05565545833333</v>
      </c>
      <c r="H37">
        <f t="shared" si="1"/>
        <v>-1.15052241666667</v>
      </c>
      <c r="I37">
        <f t="shared" si="2"/>
        <v>2.36507768575569</v>
      </c>
      <c r="K37">
        <f t="shared" si="3"/>
        <v>4.22571936337562</v>
      </c>
      <c r="L37">
        <f t="shared" si="4"/>
        <v>1.32370183125251</v>
      </c>
    </row>
    <row r="38" spans="1:12">
      <c r="A38" s="4">
        <v>44361.375</v>
      </c>
      <c r="B38">
        <v>6.382785</v>
      </c>
      <c r="C38">
        <v>7.453389</v>
      </c>
      <c r="G38">
        <f t="shared" si="0"/>
        <v>-0.976521458333333</v>
      </c>
      <c r="H38">
        <f t="shared" si="1"/>
        <v>-0.0200534166666673</v>
      </c>
      <c r="I38">
        <f t="shared" si="2"/>
        <v>0.0195825916878999</v>
      </c>
      <c r="K38">
        <f t="shared" si="3"/>
        <v>0.953594158585459</v>
      </c>
      <c r="L38">
        <f t="shared" si="4"/>
        <v>0.000402139520006969</v>
      </c>
    </row>
    <row r="39" spans="1:12">
      <c r="A39" s="4">
        <v>44361.3854166667</v>
      </c>
      <c r="B39">
        <v>7.328796</v>
      </c>
      <c r="C39">
        <v>8.548258</v>
      </c>
      <c r="G39">
        <f t="shared" si="0"/>
        <v>-0.0305104583333335</v>
      </c>
      <c r="H39">
        <f t="shared" si="1"/>
        <v>1.07481558333333</v>
      </c>
      <c r="I39">
        <f t="shared" si="2"/>
        <v>-0.0327931160713093</v>
      </c>
      <c r="K39">
        <f t="shared" si="3"/>
        <v>0.000930888067710082</v>
      </c>
      <c r="L39">
        <f t="shared" si="4"/>
        <v>1.15522853817617</v>
      </c>
    </row>
    <row r="40" spans="1:12">
      <c r="A40" s="4">
        <v>44361.3958333333</v>
      </c>
      <c r="B40">
        <v>8.540904</v>
      </c>
      <c r="C40">
        <v>9.567122</v>
      </c>
      <c r="G40">
        <f t="shared" ref="G40:G60" si="5">B40-$D$2</f>
        <v>1.18159754166667</v>
      </c>
      <c r="H40">
        <f t="shared" ref="H40:H60" si="6">C40-$E$2</f>
        <v>2.09367958333333</v>
      </c>
      <c r="I40">
        <f t="shared" ref="I40:I60" si="7">G40*H40</f>
        <v>2.47388664870436</v>
      </c>
      <c r="K40">
        <f t="shared" ref="K40:K60" si="8">G40*G40</f>
        <v>1.39617275047271</v>
      </c>
      <c r="L40">
        <f t="shared" ref="L40:L60" si="9">H40*H40</f>
        <v>4.38349419766684</v>
      </c>
    </row>
    <row r="41" spans="1:12">
      <c r="A41" s="4">
        <v>44361.40625</v>
      </c>
      <c r="B41">
        <v>9.818505</v>
      </c>
      <c r="C41">
        <v>10.492663</v>
      </c>
      <c r="G41">
        <f t="shared" si="5"/>
        <v>2.45919854166667</v>
      </c>
      <c r="H41">
        <f t="shared" si="6"/>
        <v>3.01922058333333</v>
      </c>
      <c r="I41">
        <f t="shared" si="7"/>
        <v>7.42486285550332</v>
      </c>
      <c r="K41">
        <f t="shared" si="8"/>
        <v>6.04765746733546</v>
      </c>
      <c r="L41">
        <f t="shared" si="9"/>
        <v>9.11569293082367</v>
      </c>
    </row>
    <row r="42" spans="1:12">
      <c r="A42" s="4">
        <v>44361.4166666667</v>
      </c>
      <c r="B42">
        <v>11.252011</v>
      </c>
      <c r="C42">
        <v>11.429748</v>
      </c>
      <c r="G42">
        <f t="shared" si="5"/>
        <v>3.89270454166667</v>
      </c>
      <c r="H42">
        <f t="shared" si="6"/>
        <v>3.95630558333333</v>
      </c>
      <c r="I42">
        <f t="shared" si="7"/>
        <v>15.4007287124629</v>
      </c>
      <c r="K42">
        <f t="shared" si="8"/>
        <v>15.1531486487123</v>
      </c>
      <c r="L42">
        <f t="shared" si="9"/>
        <v>15.6523538687145</v>
      </c>
    </row>
    <row r="43" spans="1:12">
      <c r="A43" s="4">
        <v>44361.4270833333</v>
      </c>
      <c r="B43">
        <v>11.19128</v>
      </c>
      <c r="C43">
        <v>12.390886</v>
      </c>
      <c r="G43">
        <f t="shared" si="5"/>
        <v>3.83197354166667</v>
      </c>
      <c r="H43">
        <f t="shared" si="6"/>
        <v>4.91744358333333</v>
      </c>
      <c r="I43">
        <f t="shared" si="7"/>
        <v>18.8435137039719</v>
      </c>
      <c r="K43">
        <f t="shared" si="8"/>
        <v>14.6840212240334</v>
      </c>
      <c r="L43">
        <f t="shared" si="9"/>
        <v>24.1812513952662</v>
      </c>
    </row>
    <row r="44" spans="1:12">
      <c r="A44" s="4">
        <v>44361.4375</v>
      </c>
      <c r="B44">
        <v>13.246506</v>
      </c>
      <c r="C44">
        <v>13.368379</v>
      </c>
      <c r="G44">
        <f t="shared" si="5"/>
        <v>5.88719954166667</v>
      </c>
      <c r="H44">
        <f t="shared" si="6"/>
        <v>5.89493658333333</v>
      </c>
      <c r="I44">
        <f t="shared" si="7"/>
        <v>34.7046679515541</v>
      </c>
      <c r="K44">
        <f t="shared" si="8"/>
        <v>34.6591184434002</v>
      </c>
      <c r="L44">
        <f t="shared" si="9"/>
        <v>34.7502773215217</v>
      </c>
    </row>
    <row r="45" spans="1:12">
      <c r="A45" s="4">
        <v>44361.4479166667</v>
      </c>
      <c r="B45">
        <v>13.168933</v>
      </c>
      <c r="C45">
        <v>14.353571</v>
      </c>
      <c r="G45">
        <f t="shared" si="5"/>
        <v>5.80962654166667</v>
      </c>
      <c r="H45">
        <f t="shared" si="6"/>
        <v>6.88012858333333</v>
      </c>
      <c r="I45">
        <f t="shared" si="7"/>
        <v>39.9709776278128</v>
      </c>
      <c r="K45">
        <f t="shared" si="8"/>
        <v>33.7517605536378</v>
      </c>
      <c r="L45">
        <f t="shared" si="9"/>
        <v>47.3361693232003</v>
      </c>
    </row>
    <row r="46" spans="1:12">
      <c r="A46" s="4">
        <v>44361.4583333333</v>
      </c>
      <c r="B46">
        <v>13.462818</v>
      </c>
      <c r="C46">
        <v>15.336836</v>
      </c>
      <c r="G46">
        <f t="shared" si="5"/>
        <v>6.10351154166667</v>
      </c>
      <c r="H46">
        <f t="shared" si="6"/>
        <v>7.86339358333333</v>
      </c>
      <c r="I46">
        <f t="shared" si="7"/>
        <v>47.9943134925426</v>
      </c>
      <c r="K46">
        <f t="shared" si="8"/>
        <v>37.2528531392582</v>
      </c>
      <c r="L46">
        <f t="shared" si="9"/>
        <v>61.8329586464078</v>
      </c>
    </row>
    <row r="47" spans="1:12">
      <c r="A47" s="4">
        <v>44361.46875</v>
      </c>
      <c r="B47">
        <v>14.702247</v>
      </c>
      <c r="C47">
        <v>16.309519</v>
      </c>
      <c r="G47">
        <f t="shared" si="5"/>
        <v>7.34294054166667</v>
      </c>
      <c r="H47">
        <f t="shared" si="6"/>
        <v>8.83607658333333</v>
      </c>
      <c r="I47">
        <f t="shared" si="7"/>
        <v>64.8827849730298</v>
      </c>
      <c r="K47">
        <f t="shared" si="8"/>
        <v>53.918775798452</v>
      </c>
      <c r="L47">
        <f t="shared" si="9"/>
        <v>78.0762493865317</v>
      </c>
    </row>
    <row r="48" spans="1:12">
      <c r="A48" s="4">
        <v>44361.4791666667</v>
      </c>
      <c r="B48">
        <v>16.893316</v>
      </c>
      <c r="C48">
        <v>17.264885</v>
      </c>
      <c r="G48">
        <f t="shared" si="5"/>
        <v>9.53400954166667</v>
      </c>
      <c r="H48">
        <f t="shared" si="6"/>
        <v>9.79144258333333</v>
      </c>
      <c r="I48">
        <f t="shared" si="7"/>
        <v>93.3517070161813</v>
      </c>
      <c r="K48">
        <f t="shared" si="8"/>
        <v>90.897337940591</v>
      </c>
      <c r="L48">
        <f t="shared" si="9"/>
        <v>95.8723478627133</v>
      </c>
    </row>
    <row r="49" spans="1:12">
      <c r="A49" s="4">
        <v>44361.4895833333</v>
      </c>
      <c r="B49">
        <v>16.946383</v>
      </c>
      <c r="C49">
        <v>18.191387</v>
      </c>
      <c r="G49">
        <f t="shared" si="5"/>
        <v>9.58707654166667</v>
      </c>
      <c r="H49">
        <f t="shared" si="6"/>
        <v>10.7179445833333</v>
      </c>
      <c r="I49">
        <f t="shared" si="7"/>
        <v>102.753755089758</v>
      </c>
      <c r="K49">
        <f t="shared" si="8"/>
        <v>91.9120366157753</v>
      </c>
      <c r="L49">
        <f t="shared" si="9"/>
        <v>114.874336091404</v>
      </c>
    </row>
    <row r="50" spans="1:12">
      <c r="A50" s="4">
        <v>44361.5</v>
      </c>
      <c r="B50">
        <v>18.358595</v>
      </c>
      <c r="C50">
        <v>19.083254</v>
      </c>
      <c r="G50">
        <f t="shared" si="5"/>
        <v>10.9992885416667</v>
      </c>
      <c r="H50">
        <f t="shared" si="6"/>
        <v>11.6098115833333</v>
      </c>
      <c r="I50">
        <f t="shared" si="7"/>
        <v>127.699667519467</v>
      </c>
      <c r="K50">
        <f t="shared" si="8"/>
        <v>120.98434842284</v>
      </c>
      <c r="L50">
        <f t="shared" si="9"/>
        <v>134.787725000501</v>
      </c>
    </row>
    <row r="51" spans="1:12">
      <c r="A51" s="4">
        <v>44361.5104166667</v>
      </c>
      <c r="B51">
        <v>19.682817</v>
      </c>
      <c r="C51">
        <v>19.929901</v>
      </c>
      <c r="G51">
        <f t="shared" si="5"/>
        <v>12.3235105416667</v>
      </c>
      <c r="H51">
        <f t="shared" si="6"/>
        <v>12.4564585833333</v>
      </c>
      <c r="I51">
        <f t="shared" si="7"/>
        <v>153.507298663543</v>
      </c>
      <c r="K51">
        <f t="shared" si="8"/>
        <v>151.868912070569</v>
      </c>
      <c r="L51">
        <f t="shared" si="9"/>
        <v>155.163360438299</v>
      </c>
    </row>
    <row r="52" spans="1:12">
      <c r="A52" s="4">
        <v>44361.5208333333</v>
      </c>
      <c r="B52">
        <v>19.282236</v>
      </c>
      <c r="C52">
        <v>20.723635</v>
      </c>
      <c r="G52">
        <f t="shared" si="5"/>
        <v>11.9229295416667</v>
      </c>
      <c r="H52">
        <f t="shared" si="6"/>
        <v>13.2501925833333</v>
      </c>
      <c r="I52">
        <f t="shared" si="7"/>
        <v>157.981112584598</v>
      </c>
      <c r="K52">
        <f t="shared" si="8"/>
        <v>142.156248855548</v>
      </c>
      <c r="L52">
        <f t="shared" si="9"/>
        <v>175.567603495422</v>
      </c>
    </row>
    <row r="53" spans="1:12">
      <c r="A53" s="4">
        <v>44361.53125</v>
      </c>
      <c r="B53">
        <v>19.758213</v>
      </c>
      <c r="C53">
        <v>21.454828</v>
      </c>
      <c r="G53">
        <f t="shared" si="5"/>
        <v>12.3989065416667</v>
      </c>
      <c r="H53">
        <f t="shared" si="6"/>
        <v>13.9813855833333</v>
      </c>
      <c r="I53">
        <f t="shared" si="7"/>
        <v>173.353893170756</v>
      </c>
      <c r="K53">
        <f t="shared" si="8"/>
        <v>153.732883428985</v>
      </c>
      <c r="L53">
        <f t="shared" si="9"/>
        <v>195.479142829841</v>
      </c>
    </row>
    <row r="54" spans="1:12">
      <c r="A54" s="4">
        <v>44361.5416666667</v>
      </c>
      <c r="B54">
        <v>21.147829</v>
      </c>
      <c r="C54">
        <v>22.115793</v>
      </c>
      <c r="G54">
        <f t="shared" si="5"/>
        <v>13.7885225416667</v>
      </c>
      <c r="H54">
        <f t="shared" si="6"/>
        <v>14.6423505833333</v>
      </c>
      <c r="I54">
        <f t="shared" si="7"/>
        <v>201.896381081278</v>
      </c>
      <c r="K54">
        <f t="shared" si="8"/>
        <v>190.12335388205</v>
      </c>
      <c r="L54">
        <f t="shared" si="9"/>
        <v>214.398430605242</v>
      </c>
    </row>
    <row r="55" spans="1:12">
      <c r="A55" s="4">
        <v>44361.5520833333</v>
      </c>
      <c r="B55">
        <v>21.678576</v>
      </c>
      <c r="C55">
        <v>22.697865</v>
      </c>
      <c r="G55">
        <f t="shared" si="5"/>
        <v>14.3192695416667</v>
      </c>
      <c r="H55">
        <f t="shared" si="6"/>
        <v>15.2244225833333</v>
      </c>
      <c r="I55">
        <f t="shared" si="7"/>
        <v>218.002610586987</v>
      </c>
      <c r="K55">
        <f t="shared" si="8"/>
        <v>205.041480206903</v>
      </c>
      <c r="L55">
        <f t="shared" si="9"/>
        <v>231.78304299591</v>
      </c>
    </row>
    <row r="56" spans="1:12">
      <c r="A56" s="4">
        <v>44361.5625</v>
      </c>
      <c r="B56">
        <v>23.458244</v>
      </c>
      <c r="C56">
        <v>23.250111</v>
      </c>
      <c r="G56">
        <f t="shared" si="5"/>
        <v>16.0989375416667</v>
      </c>
      <c r="H56">
        <f t="shared" si="6"/>
        <v>15.7766685833333</v>
      </c>
      <c r="I56">
        <f t="shared" si="7"/>
        <v>253.987602138658</v>
      </c>
      <c r="K56">
        <f t="shared" si="8"/>
        <v>259.175789970484</v>
      </c>
      <c r="L56">
        <f t="shared" si="9"/>
        <v>248.903271588337</v>
      </c>
    </row>
    <row r="57" spans="1:12">
      <c r="A57" s="4">
        <v>44361.5729166667</v>
      </c>
      <c r="B57">
        <v>23.059263</v>
      </c>
      <c r="C57">
        <v>23.812937</v>
      </c>
      <c r="G57">
        <f t="shared" si="5"/>
        <v>15.6999565416667</v>
      </c>
      <c r="H57">
        <f t="shared" si="6"/>
        <v>16.3394945833333</v>
      </c>
      <c r="I57">
        <f t="shared" si="7"/>
        <v>256.529354871131</v>
      </c>
      <c r="K57">
        <f t="shared" si="8"/>
        <v>246.488635410222</v>
      </c>
      <c r="L57">
        <f t="shared" si="9"/>
        <v>266.979083238779</v>
      </c>
    </row>
    <row r="58" spans="1:12">
      <c r="A58" s="4">
        <v>44361.5833333333</v>
      </c>
      <c r="B58">
        <v>23.27235</v>
      </c>
      <c r="C58">
        <v>24.366144</v>
      </c>
      <c r="G58">
        <f t="shared" si="5"/>
        <v>15.9130435416667</v>
      </c>
      <c r="H58">
        <f t="shared" si="6"/>
        <v>16.8927015833333</v>
      </c>
      <c r="I58">
        <f t="shared" si="7"/>
        <v>268.814295831965</v>
      </c>
      <c r="K58">
        <f t="shared" si="8"/>
        <v>253.224954758979</v>
      </c>
      <c r="L58">
        <f t="shared" si="9"/>
        <v>285.363366783552</v>
      </c>
    </row>
    <row r="59" spans="1:12">
      <c r="A59" s="4">
        <v>44361.59375</v>
      </c>
      <c r="B59">
        <v>23.251299</v>
      </c>
      <c r="C59">
        <v>24.890491</v>
      </c>
      <c r="G59">
        <f t="shared" si="5"/>
        <v>15.8919925416667</v>
      </c>
      <c r="H59">
        <f t="shared" si="6"/>
        <v>17.4170485833333</v>
      </c>
      <c r="I59">
        <f t="shared" si="7"/>
        <v>276.791606184179</v>
      </c>
      <c r="K59">
        <f t="shared" si="8"/>
        <v>252.555426944389</v>
      </c>
      <c r="L59">
        <f t="shared" si="9"/>
        <v>303.353581354194</v>
      </c>
    </row>
    <row r="60" spans="1:12">
      <c r="A60" s="4">
        <v>44361.6041666667</v>
      </c>
      <c r="B60">
        <v>24.802427</v>
      </c>
      <c r="C60">
        <v>25.364801</v>
      </c>
      <c r="G60">
        <f t="shared" si="5"/>
        <v>17.4431205416667</v>
      </c>
      <c r="H60">
        <f t="shared" si="6"/>
        <v>17.8913585833333</v>
      </c>
      <c r="I60">
        <f t="shared" si="7"/>
        <v>312.081124423266</v>
      </c>
      <c r="K60">
        <f t="shared" si="8"/>
        <v>304.262454231114</v>
      </c>
      <c r="L60">
        <f t="shared" si="9"/>
        <v>320.100711957415</v>
      </c>
    </row>
    <row r="61" spans="1:12">
      <c r="A61" s="4">
        <v>44361.6145833333</v>
      </c>
      <c r="B61">
        <v>24.844379</v>
      </c>
      <c r="C61">
        <v>25.768887</v>
      </c>
      <c r="G61">
        <f t="shared" ref="G61:G97" si="10">B61-$D$2</f>
        <v>17.4850725416667</v>
      </c>
      <c r="H61">
        <f t="shared" ref="H61:H97" si="11">C61-$E$2</f>
        <v>18.2954445833333</v>
      </c>
      <c r="I61">
        <f t="shared" ref="I61:I97" si="12">G61*H61</f>
        <v>319.897175721626</v>
      </c>
      <c r="K61">
        <f t="shared" ref="K61:K97" si="13">G61*G61</f>
        <v>305.727761787346</v>
      </c>
      <c r="L61">
        <f t="shared" ref="L61:L97" si="14">H61*H61</f>
        <v>334.723292501821</v>
      </c>
    </row>
    <row r="62" spans="1:12">
      <c r="A62" s="4">
        <v>44361.625</v>
      </c>
      <c r="B62">
        <v>25.573544</v>
      </c>
      <c r="C62">
        <v>26.08349</v>
      </c>
      <c r="G62">
        <f t="shared" si="10"/>
        <v>18.2142375416667</v>
      </c>
      <c r="H62">
        <f t="shared" si="11"/>
        <v>18.6100475833333</v>
      </c>
      <c r="I62">
        <f t="shared" si="12"/>
        <v>338.967827344553</v>
      </c>
      <c r="K62">
        <f t="shared" si="13"/>
        <v>331.758449224259</v>
      </c>
      <c r="L62">
        <f t="shared" si="14"/>
        <v>346.333871053931</v>
      </c>
    </row>
    <row r="63" spans="1:12">
      <c r="A63" s="4">
        <v>44361.6354166667</v>
      </c>
      <c r="B63">
        <v>25.460232</v>
      </c>
      <c r="C63">
        <v>26.286493</v>
      </c>
      <c r="G63">
        <f t="shared" si="10"/>
        <v>18.1009255416667</v>
      </c>
      <c r="H63">
        <f t="shared" si="11"/>
        <v>18.8130505833333</v>
      </c>
      <c r="I63">
        <f t="shared" si="12"/>
        <v>340.533627820525</v>
      </c>
      <c r="K63">
        <f t="shared" si="13"/>
        <v>327.643505464961</v>
      </c>
      <c r="L63">
        <f t="shared" si="14"/>
        <v>353.930872251059</v>
      </c>
    </row>
    <row r="64" spans="1:12">
      <c r="A64" s="4">
        <v>44361.6458333333</v>
      </c>
      <c r="B64">
        <v>25.22831</v>
      </c>
      <c r="C64">
        <v>26.358654</v>
      </c>
      <c r="G64">
        <f t="shared" si="10"/>
        <v>17.8690035416667</v>
      </c>
      <c r="H64">
        <f t="shared" si="11"/>
        <v>18.8852115833333</v>
      </c>
      <c r="I64">
        <f t="shared" si="12"/>
        <v>337.459912667708</v>
      </c>
      <c r="K64">
        <f t="shared" si="13"/>
        <v>319.301287572096</v>
      </c>
      <c r="L64">
        <f t="shared" si="14"/>
        <v>356.651216547267</v>
      </c>
    </row>
    <row r="65" spans="1:12">
      <c r="A65" s="4">
        <v>44361.65625</v>
      </c>
      <c r="B65">
        <v>25.501255</v>
      </c>
      <c r="C65">
        <v>25.991131</v>
      </c>
      <c r="G65">
        <f t="shared" si="10"/>
        <v>18.1419485416667</v>
      </c>
      <c r="H65">
        <f t="shared" si="11"/>
        <v>18.5176885833333</v>
      </c>
      <c r="I65">
        <f t="shared" si="12"/>
        <v>335.946953389442</v>
      </c>
      <c r="K65">
        <f t="shared" si="13"/>
        <v>329.130296888481</v>
      </c>
      <c r="L65">
        <f t="shared" si="14"/>
        <v>342.904790469314</v>
      </c>
    </row>
    <row r="66" spans="1:12">
      <c r="A66" s="4">
        <v>44361.6666666667</v>
      </c>
      <c r="B66">
        <v>25.842052</v>
      </c>
      <c r="C66">
        <v>24.968418</v>
      </c>
      <c r="G66">
        <f t="shared" si="10"/>
        <v>18.4827455416667</v>
      </c>
      <c r="H66">
        <f t="shared" si="11"/>
        <v>17.4949755833333</v>
      </c>
      <c r="I66">
        <f t="shared" si="12"/>
        <v>323.355181964421</v>
      </c>
      <c r="K66">
        <f t="shared" si="13"/>
        <v>341.611882757999</v>
      </c>
      <c r="L66">
        <f t="shared" si="14"/>
        <v>306.074170661429</v>
      </c>
    </row>
    <row r="67" spans="1:12">
      <c r="A67" s="4">
        <v>44361.6770833333</v>
      </c>
      <c r="B67">
        <v>22.696827</v>
      </c>
      <c r="C67">
        <v>23.409817</v>
      </c>
      <c r="G67">
        <f t="shared" si="10"/>
        <v>15.3375205416667</v>
      </c>
      <c r="H67">
        <f t="shared" si="11"/>
        <v>15.9363745833333</v>
      </c>
      <c r="I67">
        <f t="shared" si="12"/>
        <v>244.42447253157</v>
      </c>
      <c r="K67">
        <f t="shared" si="13"/>
        <v>235.239536366047</v>
      </c>
      <c r="L67">
        <f t="shared" si="14"/>
        <v>253.968034860313</v>
      </c>
    </row>
    <row r="68" spans="1:12">
      <c r="A68" s="4">
        <v>44361.6875</v>
      </c>
      <c r="B68">
        <v>23.166964</v>
      </c>
      <c r="C68">
        <v>21.435589</v>
      </c>
      <c r="G68">
        <f t="shared" si="10"/>
        <v>15.8076575416667</v>
      </c>
      <c r="H68">
        <f t="shared" si="11"/>
        <v>13.9621465833333</v>
      </c>
      <c r="I68">
        <f t="shared" si="12"/>
        <v>220.708831735885</v>
      </c>
      <c r="K68">
        <f t="shared" si="13"/>
        <v>249.882036954611</v>
      </c>
      <c r="L68">
        <f t="shared" si="14"/>
        <v>194.941537214487</v>
      </c>
    </row>
    <row r="69" spans="1:12">
      <c r="A69" s="4">
        <v>44361.6979166667</v>
      </c>
      <c r="B69">
        <v>20.968792</v>
      </c>
      <c r="C69">
        <v>19.163109</v>
      </c>
      <c r="G69">
        <f t="shared" si="10"/>
        <v>13.6094855416667</v>
      </c>
      <c r="H69">
        <f t="shared" si="11"/>
        <v>11.6896665833333</v>
      </c>
      <c r="I69">
        <f t="shared" si="12"/>
        <v>159.090348352779</v>
      </c>
      <c r="K69">
        <f t="shared" si="13"/>
        <v>185.218096708834</v>
      </c>
      <c r="L69">
        <f t="shared" si="14"/>
        <v>136.6483048295</v>
      </c>
    </row>
    <row r="70" spans="1:12">
      <c r="A70" s="4">
        <v>44361.7083333333</v>
      </c>
      <c r="B70">
        <v>17.632334</v>
      </c>
      <c r="C70">
        <v>16.7136</v>
      </c>
      <c r="G70">
        <f t="shared" si="10"/>
        <v>10.2730275416667</v>
      </c>
      <c r="H70">
        <f t="shared" si="11"/>
        <v>9.24015758333333</v>
      </c>
      <c r="I70">
        <f t="shared" si="12"/>
        <v>94.9243933429234</v>
      </c>
      <c r="K70">
        <f t="shared" si="13"/>
        <v>105.535094871842</v>
      </c>
      <c r="L70">
        <f t="shared" si="14"/>
        <v>85.3805121648325</v>
      </c>
    </row>
    <row r="71" spans="1:12">
      <c r="A71" s="4">
        <v>44361.71875</v>
      </c>
      <c r="B71">
        <v>16.84222</v>
      </c>
      <c r="C71">
        <v>14.206369</v>
      </c>
      <c r="G71">
        <f t="shared" si="10"/>
        <v>9.48291354166667</v>
      </c>
      <c r="H71">
        <f t="shared" si="11"/>
        <v>6.73292658333333</v>
      </c>
      <c r="I71">
        <f t="shared" si="12"/>
        <v>63.8477606721392</v>
      </c>
      <c r="K71">
        <f t="shared" si="13"/>
        <v>89.9256492387251</v>
      </c>
      <c r="L71">
        <f t="shared" si="14"/>
        <v>45.3323003765567</v>
      </c>
    </row>
    <row r="72" spans="1:12">
      <c r="A72" s="4">
        <v>44361.7291666667</v>
      </c>
      <c r="B72">
        <v>13.701674</v>
      </c>
      <c r="C72">
        <v>11.760709</v>
      </c>
      <c r="G72">
        <f t="shared" si="10"/>
        <v>6.34236754166667</v>
      </c>
      <c r="H72">
        <f t="shared" si="11"/>
        <v>4.28726658333333</v>
      </c>
      <c r="I72">
        <f t="shared" si="12"/>
        <v>27.1914204206055</v>
      </c>
      <c r="K72">
        <f t="shared" si="13"/>
        <v>40.2256260335869</v>
      </c>
      <c r="L72">
        <f t="shared" si="14"/>
        <v>18.3806547565667</v>
      </c>
    </row>
    <row r="73" spans="1:12">
      <c r="A73" s="4">
        <v>44361.7395833333</v>
      </c>
      <c r="B73">
        <v>11.439572</v>
      </c>
      <c r="C73">
        <v>9.494965</v>
      </c>
      <c r="G73">
        <f t="shared" si="10"/>
        <v>4.08026554166667</v>
      </c>
      <c r="H73">
        <f t="shared" si="11"/>
        <v>2.02152258333333</v>
      </c>
      <c r="I73">
        <f t="shared" si="12"/>
        <v>8.24834893847598</v>
      </c>
      <c r="K73">
        <f t="shared" si="13"/>
        <v>16.6485668905124</v>
      </c>
      <c r="L73">
        <f t="shared" si="14"/>
        <v>4.08655355492667</v>
      </c>
    </row>
    <row r="74" spans="1:12">
      <c r="A74" s="4">
        <v>44361.75</v>
      </c>
      <c r="B74">
        <v>9.637115</v>
      </c>
      <c r="C74">
        <v>7.529395</v>
      </c>
      <c r="G74">
        <f t="shared" si="10"/>
        <v>2.27780854166667</v>
      </c>
      <c r="H74">
        <f t="shared" si="11"/>
        <v>0.0559525833333332</v>
      </c>
      <c r="I74">
        <f t="shared" si="12"/>
        <v>0.127449272244982</v>
      </c>
      <c r="K74">
        <f t="shared" si="13"/>
        <v>5.18841175248963</v>
      </c>
      <c r="L74">
        <f t="shared" si="14"/>
        <v>0.0031306915816736</v>
      </c>
    </row>
    <row r="75" spans="1:12">
      <c r="A75" s="4">
        <v>44361.7604166667</v>
      </c>
      <c r="B75">
        <v>7.659983</v>
      </c>
      <c r="C75">
        <v>5.876507</v>
      </c>
      <c r="G75">
        <f t="shared" si="10"/>
        <v>0.300676541666667</v>
      </c>
      <c r="H75">
        <f t="shared" si="11"/>
        <v>-1.59693541666667</v>
      </c>
      <c r="I75">
        <f t="shared" si="12"/>
        <v>-0.480161018348352</v>
      </c>
      <c r="K75">
        <f t="shared" si="13"/>
        <v>0.0904063827086271</v>
      </c>
      <c r="L75">
        <f t="shared" si="14"/>
        <v>2.55020272500434</v>
      </c>
    </row>
    <row r="76" spans="1:12">
      <c r="A76" s="4">
        <v>44361.7708333333</v>
      </c>
      <c r="B76">
        <v>5.984618</v>
      </c>
      <c r="C76">
        <v>4.078342</v>
      </c>
      <c r="G76">
        <f t="shared" si="10"/>
        <v>-1.37468845833333</v>
      </c>
      <c r="H76">
        <f t="shared" si="11"/>
        <v>-3.39510041666667</v>
      </c>
      <c r="I76">
        <f t="shared" si="12"/>
        <v>4.66720535767436</v>
      </c>
      <c r="K76">
        <f t="shared" si="13"/>
        <v>1.88976835747488</v>
      </c>
      <c r="L76">
        <f t="shared" si="14"/>
        <v>11.5267068392502</v>
      </c>
    </row>
    <row r="77" spans="1:12">
      <c r="A77" s="4">
        <v>44361.78125</v>
      </c>
      <c r="B77">
        <v>4.087901</v>
      </c>
      <c r="C77">
        <v>2.316737</v>
      </c>
      <c r="G77">
        <f t="shared" si="10"/>
        <v>-3.27140545833333</v>
      </c>
      <c r="H77">
        <f t="shared" si="11"/>
        <v>-5.15670541666667</v>
      </c>
      <c r="I77">
        <f t="shared" si="12"/>
        <v>16.8696742471004</v>
      </c>
      <c r="K77">
        <f t="shared" si="13"/>
        <v>10.7020936728131</v>
      </c>
      <c r="L77">
        <f t="shared" si="14"/>
        <v>26.5916107542793</v>
      </c>
    </row>
    <row r="78" spans="1:12">
      <c r="A78" s="4">
        <v>44361.7916666667</v>
      </c>
      <c r="B78">
        <v>2.344751</v>
      </c>
      <c r="C78">
        <v>0</v>
      </c>
      <c r="G78">
        <f t="shared" si="10"/>
        <v>-5.01455545833333</v>
      </c>
      <c r="H78">
        <f t="shared" si="11"/>
        <v>-7.47344241666667</v>
      </c>
      <c r="I78">
        <f t="shared" si="12"/>
        <v>37.4759914630357</v>
      </c>
      <c r="K78">
        <f t="shared" si="13"/>
        <v>25.1457664447006</v>
      </c>
      <c r="L78">
        <f t="shared" si="14"/>
        <v>55.8523415552325</v>
      </c>
    </row>
    <row r="79" spans="1:12">
      <c r="A79" s="4">
        <v>44361.8020833333</v>
      </c>
      <c r="B79">
        <v>0.014986</v>
      </c>
      <c r="C79">
        <v>0</v>
      </c>
      <c r="G79">
        <f t="shared" si="10"/>
        <v>-7.34432045833333</v>
      </c>
      <c r="H79">
        <f t="shared" si="11"/>
        <v>-7.47344241666667</v>
      </c>
      <c r="I79">
        <f t="shared" si="12"/>
        <v>54.8873560349011</v>
      </c>
      <c r="K79">
        <f t="shared" si="13"/>
        <v>53.9390429946935</v>
      </c>
      <c r="L79">
        <f t="shared" si="14"/>
        <v>55.8523415552325</v>
      </c>
    </row>
    <row r="80" spans="1:12">
      <c r="A80" s="4">
        <v>44361.8125</v>
      </c>
      <c r="B80">
        <v>0</v>
      </c>
      <c r="C80">
        <v>0</v>
      </c>
      <c r="G80">
        <f t="shared" si="10"/>
        <v>-7.35930645833333</v>
      </c>
      <c r="H80">
        <f t="shared" si="11"/>
        <v>-7.47344241666667</v>
      </c>
      <c r="I80">
        <f t="shared" si="12"/>
        <v>54.9993530429573</v>
      </c>
      <c r="K80">
        <f t="shared" si="13"/>
        <v>54.1593915476667</v>
      </c>
      <c r="L80">
        <f t="shared" si="14"/>
        <v>55.8523415552325</v>
      </c>
    </row>
    <row r="81" spans="1:12">
      <c r="A81" s="4">
        <v>44361.8229166667</v>
      </c>
      <c r="B81">
        <v>0</v>
      </c>
      <c r="C81">
        <v>0</v>
      </c>
      <c r="G81">
        <f t="shared" si="10"/>
        <v>-7.35930645833333</v>
      </c>
      <c r="H81">
        <f t="shared" si="11"/>
        <v>-7.47344241666667</v>
      </c>
      <c r="I81">
        <f t="shared" si="12"/>
        <v>54.9993530429573</v>
      </c>
      <c r="K81">
        <f t="shared" si="13"/>
        <v>54.1593915476667</v>
      </c>
      <c r="L81">
        <f t="shared" si="14"/>
        <v>55.8523415552325</v>
      </c>
    </row>
    <row r="82" spans="1:12">
      <c r="A82" s="4">
        <v>44361.8333333333</v>
      </c>
      <c r="B82">
        <v>0</v>
      </c>
      <c r="C82">
        <v>0</v>
      </c>
      <c r="G82">
        <f t="shared" si="10"/>
        <v>-7.35930645833333</v>
      </c>
      <c r="H82">
        <f t="shared" si="11"/>
        <v>-7.47344241666667</v>
      </c>
      <c r="I82">
        <f t="shared" si="12"/>
        <v>54.9993530429573</v>
      </c>
      <c r="K82">
        <f t="shared" si="13"/>
        <v>54.1593915476667</v>
      </c>
      <c r="L82">
        <f t="shared" si="14"/>
        <v>55.8523415552325</v>
      </c>
    </row>
    <row r="83" spans="1:12">
      <c r="A83" s="4">
        <v>44361.84375</v>
      </c>
      <c r="B83">
        <v>0</v>
      </c>
      <c r="C83">
        <v>0</v>
      </c>
      <c r="G83">
        <f t="shared" si="10"/>
        <v>-7.35930645833333</v>
      </c>
      <c r="H83">
        <f t="shared" si="11"/>
        <v>-7.47344241666667</v>
      </c>
      <c r="I83">
        <f t="shared" si="12"/>
        <v>54.9993530429573</v>
      </c>
      <c r="K83">
        <f t="shared" si="13"/>
        <v>54.1593915476667</v>
      </c>
      <c r="L83">
        <f t="shared" si="14"/>
        <v>55.8523415552325</v>
      </c>
    </row>
    <row r="84" spans="1:12">
      <c r="A84" s="4">
        <v>44361.8541666667</v>
      </c>
      <c r="B84">
        <v>0</v>
      </c>
      <c r="C84">
        <v>0</v>
      </c>
      <c r="G84">
        <f t="shared" si="10"/>
        <v>-7.35930645833333</v>
      </c>
      <c r="H84">
        <f t="shared" si="11"/>
        <v>-7.47344241666667</v>
      </c>
      <c r="I84">
        <f t="shared" si="12"/>
        <v>54.9993530429573</v>
      </c>
      <c r="K84">
        <f t="shared" si="13"/>
        <v>54.1593915476667</v>
      </c>
      <c r="L84">
        <f t="shared" si="14"/>
        <v>55.8523415552325</v>
      </c>
    </row>
    <row r="85" spans="1:12">
      <c r="A85" s="4">
        <v>44361.8645833333</v>
      </c>
      <c r="B85">
        <v>0</v>
      </c>
      <c r="C85">
        <v>0</v>
      </c>
      <c r="G85">
        <f t="shared" si="10"/>
        <v>-7.35930645833333</v>
      </c>
      <c r="H85">
        <f t="shared" si="11"/>
        <v>-7.47344241666667</v>
      </c>
      <c r="I85">
        <f t="shared" si="12"/>
        <v>54.9993530429573</v>
      </c>
      <c r="K85">
        <f t="shared" si="13"/>
        <v>54.1593915476667</v>
      </c>
      <c r="L85">
        <f t="shared" si="14"/>
        <v>55.8523415552325</v>
      </c>
    </row>
    <row r="86" spans="1:12">
      <c r="A86" s="4">
        <v>44361.875</v>
      </c>
      <c r="B86">
        <v>0</v>
      </c>
      <c r="C86">
        <v>0</v>
      </c>
      <c r="G86">
        <f t="shared" si="10"/>
        <v>-7.35930645833333</v>
      </c>
      <c r="H86">
        <f t="shared" si="11"/>
        <v>-7.47344241666667</v>
      </c>
      <c r="I86">
        <f t="shared" si="12"/>
        <v>54.9993530429573</v>
      </c>
      <c r="K86">
        <f t="shared" si="13"/>
        <v>54.1593915476667</v>
      </c>
      <c r="L86">
        <f t="shared" si="14"/>
        <v>55.8523415552325</v>
      </c>
    </row>
    <row r="87" spans="1:12">
      <c r="A87" s="4">
        <v>44361.8854166667</v>
      </c>
      <c r="B87">
        <v>0</v>
      </c>
      <c r="C87">
        <v>0</v>
      </c>
      <c r="G87">
        <f t="shared" si="10"/>
        <v>-7.35930645833333</v>
      </c>
      <c r="H87">
        <f t="shared" si="11"/>
        <v>-7.47344241666667</v>
      </c>
      <c r="I87">
        <f t="shared" si="12"/>
        <v>54.9993530429573</v>
      </c>
      <c r="K87">
        <f t="shared" si="13"/>
        <v>54.1593915476667</v>
      </c>
      <c r="L87">
        <f t="shared" si="14"/>
        <v>55.8523415552325</v>
      </c>
    </row>
    <row r="88" spans="1:12">
      <c r="A88" s="4">
        <v>44361.8958333333</v>
      </c>
      <c r="B88">
        <v>0</v>
      </c>
      <c r="C88">
        <v>0</v>
      </c>
      <c r="G88">
        <f t="shared" si="10"/>
        <v>-7.35930645833333</v>
      </c>
      <c r="H88">
        <f t="shared" si="11"/>
        <v>-7.47344241666667</v>
      </c>
      <c r="I88">
        <f t="shared" si="12"/>
        <v>54.9993530429573</v>
      </c>
      <c r="K88">
        <f t="shared" si="13"/>
        <v>54.1593915476667</v>
      </c>
      <c r="L88">
        <f t="shared" si="14"/>
        <v>55.8523415552325</v>
      </c>
    </row>
    <row r="89" spans="1:12">
      <c r="A89" s="4">
        <v>44361.90625</v>
      </c>
      <c r="B89">
        <v>0</v>
      </c>
      <c r="C89">
        <v>0</v>
      </c>
      <c r="G89">
        <f t="shared" si="10"/>
        <v>-7.35930645833333</v>
      </c>
      <c r="H89">
        <f t="shared" si="11"/>
        <v>-7.47344241666667</v>
      </c>
      <c r="I89">
        <f t="shared" si="12"/>
        <v>54.9993530429573</v>
      </c>
      <c r="K89">
        <f t="shared" si="13"/>
        <v>54.1593915476667</v>
      </c>
      <c r="L89">
        <f t="shared" si="14"/>
        <v>55.8523415552325</v>
      </c>
    </row>
    <row r="90" spans="1:12">
      <c r="A90" s="4">
        <v>44361.9166666667</v>
      </c>
      <c r="B90">
        <v>0</v>
      </c>
      <c r="C90">
        <v>0</v>
      </c>
      <c r="G90">
        <f t="shared" si="10"/>
        <v>-7.35930645833333</v>
      </c>
      <c r="H90">
        <f t="shared" si="11"/>
        <v>-7.47344241666667</v>
      </c>
      <c r="I90">
        <f t="shared" si="12"/>
        <v>54.9993530429573</v>
      </c>
      <c r="K90">
        <f t="shared" si="13"/>
        <v>54.1593915476667</v>
      </c>
      <c r="L90">
        <f t="shared" si="14"/>
        <v>55.8523415552325</v>
      </c>
    </row>
    <row r="91" spans="1:12">
      <c r="A91" s="4">
        <v>44361.9270833333</v>
      </c>
      <c r="B91">
        <v>0</v>
      </c>
      <c r="C91">
        <v>0</v>
      </c>
      <c r="G91">
        <f t="shared" si="10"/>
        <v>-7.35930645833333</v>
      </c>
      <c r="H91">
        <f t="shared" si="11"/>
        <v>-7.47344241666667</v>
      </c>
      <c r="I91">
        <f t="shared" si="12"/>
        <v>54.9993530429573</v>
      </c>
      <c r="K91">
        <f t="shared" si="13"/>
        <v>54.1593915476667</v>
      </c>
      <c r="L91">
        <f t="shared" si="14"/>
        <v>55.8523415552325</v>
      </c>
    </row>
    <row r="92" spans="1:12">
      <c r="A92" s="4">
        <v>44361.9375</v>
      </c>
      <c r="B92">
        <v>0</v>
      </c>
      <c r="C92">
        <v>0</v>
      </c>
      <c r="G92">
        <f t="shared" si="10"/>
        <v>-7.35930645833333</v>
      </c>
      <c r="H92">
        <f t="shared" si="11"/>
        <v>-7.47344241666667</v>
      </c>
      <c r="I92">
        <f t="shared" si="12"/>
        <v>54.9993530429573</v>
      </c>
      <c r="K92">
        <f t="shared" si="13"/>
        <v>54.1593915476667</v>
      </c>
      <c r="L92">
        <f t="shared" si="14"/>
        <v>55.8523415552325</v>
      </c>
    </row>
    <row r="93" spans="1:12">
      <c r="A93" s="4">
        <v>44361.9479166667</v>
      </c>
      <c r="B93">
        <v>0</v>
      </c>
      <c r="C93">
        <v>0</v>
      </c>
      <c r="G93">
        <f t="shared" si="10"/>
        <v>-7.35930645833333</v>
      </c>
      <c r="H93">
        <f t="shared" si="11"/>
        <v>-7.47344241666667</v>
      </c>
      <c r="I93">
        <f t="shared" si="12"/>
        <v>54.9993530429573</v>
      </c>
      <c r="K93">
        <f t="shared" si="13"/>
        <v>54.1593915476667</v>
      </c>
      <c r="L93">
        <f t="shared" si="14"/>
        <v>55.8523415552325</v>
      </c>
    </row>
    <row r="94" spans="1:12">
      <c r="A94" s="4">
        <v>44361.9583333333</v>
      </c>
      <c r="B94">
        <v>0</v>
      </c>
      <c r="C94">
        <v>0</v>
      </c>
      <c r="G94">
        <f t="shared" si="10"/>
        <v>-7.35930645833333</v>
      </c>
      <c r="H94">
        <f t="shared" si="11"/>
        <v>-7.47344241666667</v>
      </c>
      <c r="I94">
        <f t="shared" si="12"/>
        <v>54.9993530429573</v>
      </c>
      <c r="K94">
        <f t="shared" si="13"/>
        <v>54.1593915476667</v>
      </c>
      <c r="L94">
        <f t="shared" si="14"/>
        <v>55.8523415552325</v>
      </c>
    </row>
    <row r="95" spans="1:12">
      <c r="A95" s="4">
        <v>44361.96875</v>
      </c>
      <c r="B95">
        <v>0</v>
      </c>
      <c r="C95">
        <v>0</v>
      </c>
      <c r="G95">
        <f t="shared" si="10"/>
        <v>-7.35930645833333</v>
      </c>
      <c r="H95">
        <f t="shared" si="11"/>
        <v>-7.47344241666667</v>
      </c>
      <c r="I95">
        <f t="shared" si="12"/>
        <v>54.9993530429573</v>
      </c>
      <c r="K95">
        <f t="shared" si="13"/>
        <v>54.1593915476667</v>
      </c>
      <c r="L95">
        <f t="shared" si="14"/>
        <v>55.8523415552325</v>
      </c>
    </row>
    <row r="96" spans="1:12">
      <c r="A96" s="4">
        <v>44361.9791666667</v>
      </c>
      <c r="B96">
        <v>0</v>
      </c>
      <c r="C96">
        <v>0</v>
      </c>
      <c r="G96">
        <f t="shared" si="10"/>
        <v>-7.35930645833333</v>
      </c>
      <c r="H96">
        <f t="shared" si="11"/>
        <v>-7.47344241666667</v>
      </c>
      <c r="I96">
        <f t="shared" si="12"/>
        <v>54.9993530429573</v>
      </c>
      <c r="K96">
        <f t="shared" si="13"/>
        <v>54.1593915476667</v>
      </c>
      <c r="L96">
        <f t="shared" si="14"/>
        <v>55.8523415552325</v>
      </c>
    </row>
    <row r="97" spans="1:12">
      <c r="A97" s="4">
        <v>44361.9895833333</v>
      </c>
      <c r="B97">
        <v>0</v>
      </c>
      <c r="C97">
        <v>0</v>
      </c>
      <c r="G97">
        <f t="shared" si="10"/>
        <v>-7.35930645833333</v>
      </c>
      <c r="H97">
        <f t="shared" si="11"/>
        <v>-7.47344241666667</v>
      </c>
      <c r="I97">
        <f t="shared" si="12"/>
        <v>54.9993530429573</v>
      </c>
      <c r="K97">
        <f t="shared" si="13"/>
        <v>54.1593915476667</v>
      </c>
      <c r="L97">
        <f t="shared" si="14"/>
        <v>55.8523415552325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4"/>
  <sheetViews>
    <sheetView workbookViewId="0">
      <selection activeCell="O2" sqref="O2"/>
    </sheetView>
  </sheetViews>
  <sheetFormatPr defaultColWidth="9" defaultRowHeight="13.5"/>
  <cols>
    <col min="1" max="1" width="18.25" customWidth="1"/>
    <col min="2" max="2" width="17.125" customWidth="1"/>
    <col min="3" max="3" width="11.625" customWidth="1"/>
    <col min="4" max="4" width="11.25" customWidth="1"/>
    <col min="5" max="5" width="13.75"/>
    <col min="6" max="6" width="11.625" customWidth="1"/>
    <col min="7" max="7" width="16.625" customWidth="1"/>
    <col min="8" max="8" width="13.75"/>
    <col min="9" max="9" width="11.375" customWidth="1"/>
    <col min="10" max="10" width="12.625" customWidth="1"/>
    <col min="11" max="11" width="11.875" customWidth="1"/>
    <col min="12" max="13" width="7" customWidth="1"/>
    <col min="14" max="14" width="14.875" customWidth="1"/>
    <col min="15" max="15" width="8.5" customWidth="1"/>
  </cols>
  <sheetData>
    <row r="1" ht="40.5" spans="3:15">
      <c r="C1" s="7" t="s">
        <v>21</v>
      </c>
      <c r="D1" s="7" t="s">
        <v>22</v>
      </c>
      <c r="E1" s="7" t="s">
        <v>31</v>
      </c>
      <c r="F1" t="s">
        <v>32</v>
      </c>
      <c r="G1" s="9" t="s">
        <v>33</v>
      </c>
      <c r="H1" s="3" t="s">
        <v>34</v>
      </c>
      <c r="I1" s="3" t="s">
        <v>35</v>
      </c>
      <c r="J1" s="3" t="s">
        <v>36</v>
      </c>
      <c r="K1" s="3"/>
      <c r="N1" s="5" t="s">
        <v>37</v>
      </c>
      <c r="O1" t="s">
        <v>12</v>
      </c>
    </row>
    <row r="2" spans="1:15">
      <c r="A2" s="4">
        <v>44729</v>
      </c>
      <c r="B2" s="4">
        <v>44729</v>
      </c>
      <c r="C2">
        <v>0</v>
      </c>
      <c r="D2">
        <v>0</v>
      </c>
      <c r="E2">
        <v>100</v>
      </c>
      <c r="F2">
        <f>E2*0.03</f>
        <v>3</v>
      </c>
      <c r="G2">
        <v>0.2</v>
      </c>
      <c r="H2">
        <f>IF(AND(C2=0,D2&lt;=$F$2),0,IF(AND(D2=0,C2&lt;=$F$2),0,IF(AND(D2=0,C2&gt;$F$2),1,ABS(C2-D2)/D2)))</f>
        <v>0</v>
      </c>
      <c r="I2">
        <f>IF(AND(D2=0,C2&lt;=$F$2),0,IF(AND(D2=0,C2&gt;$F$2),1,H2))</f>
        <v>0</v>
      </c>
      <c r="J2">
        <f>IF(AND(C2=0,D2&lt;=$F$2),0,IF(AND(C2=0,D2&gt;$F$2),1,H2))</f>
        <v>0</v>
      </c>
      <c r="K2">
        <f>IF(H2&lt;=$G$2,1,0)</f>
        <v>1</v>
      </c>
      <c r="L2">
        <f>COUNTIF(K:K,1)</f>
        <v>87</v>
      </c>
      <c r="M2">
        <f>COUNT(K:K)</f>
        <v>96</v>
      </c>
      <c r="N2" s="6">
        <f>L2/M2</f>
        <v>0.90625</v>
      </c>
      <c r="O2">
        <v>1</v>
      </c>
    </row>
    <row r="3" spans="1:11">
      <c r="A3" s="4">
        <v>44729.0104166667</v>
      </c>
      <c r="B3" s="4">
        <v>44729.0104166667</v>
      </c>
      <c r="C3">
        <v>0</v>
      </c>
      <c r="D3">
        <v>0</v>
      </c>
      <c r="H3">
        <f t="shared" ref="H3:H34" si="0">IF(AND(C3=0,D3&lt;=$F$2),0,IF(AND(D3=0,C3&lt;=$F$2),0,IF(AND(D3=0,C3&gt;$F$2),1,ABS(C3-D3)/D3)))</f>
        <v>0</v>
      </c>
      <c r="I3">
        <f t="shared" ref="I3:I34" si="1">IF(AND(D3=0,C3&lt;=$F$2),0,IF(AND(D3=0,C3&gt;$F$2),1,H3))</f>
        <v>0</v>
      </c>
      <c r="J3">
        <f t="shared" ref="J3:J34" si="2">IF(AND(C3=0,D3&lt;=$F$2),0,IF(AND(C3=0,D3&gt;$F$2),1,H3))</f>
        <v>0</v>
      </c>
      <c r="K3">
        <f t="shared" ref="K3:K34" si="3">IF(H3&lt;=$G$2,1,0)</f>
        <v>1</v>
      </c>
    </row>
    <row r="4" spans="1:11">
      <c r="A4" s="4">
        <v>44729.0208333333</v>
      </c>
      <c r="B4" s="4">
        <v>44729.0208333333</v>
      </c>
      <c r="C4">
        <v>0</v>
      </c>
      <c r="D4">
        <v>0</v>
      </c>
      <c r="H4">
        <f t="shared" si="0"/>
        <v>0</v>
      </c>
      <c r="I4">
        <f t="shared" si="1"/>
        <v>0</v>
      </c>
      <c r="J4">
        <f t="shared" si="2"/>
        <v>0</v>
      </c>
      <c r="K4">
        <f t="shared" si="3"/>
        <v>1</v>
      </c>
    </row>
    <row r="5" spans="1:11">
      <c r="A5" s="4">
        <v>44729.03125</v>
      </c>
      <c r="B5" s="4">
        <v>44729.03125</v>
      </c>
      <c r="C5">
        <v>0</v>
      </c>
      <c r="D5">
        <v>0</v>
      </c>
      <c r="H5">
        <f t="shared" si="0"/>
        <v>0</v>
      </c>
      <c r="I5">
        <f t="shared" si="1"/>
        <v>0</v>
      </c>
      <c r="J5">
        <f t="shared" si="2"/>
        <v>0</v>
      </c>
      <c r="K5">
        <f t="shared" si="3"/>
        <v>1</v>
      </c>
    </row>
    <row r="6" spans="1:11">
      <c r="A6" s="4">
        <v>44729.0416666667</v>
      </c>
      <c r="B6" s="4">
        <v>44729.0416666667</v>
      </c>
      <c r="C6">
        <v>0</v>
      </c>
      <c r="D6">
        <v>0</v>
      </c>
      <c r="H6">
        <f t="shared" si="0"/>
        <v>0</v>
      </c>
      <c r="I6">
        <f t="shared" si="1"/>
        <v>0</v>
      </c>
      <c r="J6">
        <f t="shared" si="2"/>
        <v>0</v>
      </c>
      <c r="K6">
        <f t="shared" si="3"/>
        <v>1</v>
      </c>
    </row>
    <row r="7" spans="1:11">
      <c r="A7" s="4">
        <v>44729.0520833333</v>
      </c>
      <c r="B7" s="4">
        <v>44729.0520833333</v>
      </c>
      <c r="C7">
        <v>0</v>
      </c>
      <c r="D7">
        <v>0</v>
      </c>
      <c r="H7">
        <f t="shared" si="0"/>
        <v>0</v>
      </c>
      <c r="I7">
        <f t="shared" si="1"/>
        <v>0</v>
      </c>
      <c r="J7">
        <f t="shared" si="2"/>
        <v>0</v>
      </c>
      <c r="K7">
        <f t="shared" si="3"/>
        <v>1</v>
      </c>
    </row>
    <row r="8" spans="1:11">
      <c r="A8" s="4">
        <v>44729.0625</v>
      </c>
      <c r="B8" s="4">
        <v>44729.0625</v>
      </c>
      <c r="C8">
        <v>0</v>
      </c>
      <c r="D8">
        <v>0</v>
      </c>
      <c r="H8">
        <f t="shared" si="0"/>
        <v>0</v>
      </c>
      <c r="I8">
        <f t="shared" si="1"/>
        <v>0</v>
      </c>
      <c r="J8">
        <f t="shared" si="2"/>
        <v>0</v>
      </c>
      <c r="K8">
        <f t="shared" si="3"/>
        <v>1</v>
      </c>
    </row>
    <row r="9" spans="1:11">
      <c r="A9" s="4">
        <v>44729.0729166667</v>
      </c>
      <c r="B9" s="4">
        <v>44729.0729166667</v>
      </c>
      <c r="C9">
        <v>0</v>
      </c>
      <c r="D9">
        <v>0</v>
      </c>
      <c r="H9">
        <f t="shared" si="0"/>
        <v>0</v>
      </c>
      <c r="I9">
        <f t="shared" si="1"/>
        <v>0</v>
      </c>
      <c r="J9">
        <f t="shared" si="2"/>
        <v>0</v>
      </c>
      <c r="K9">
        <f t="shared" si="3"/>
        <v>1</v>
      </c>
    </row>
    <row r="10" spans="1:11">
      <c r="A10" s="4">
        <v>44729.0833333333</v>
      </c>
      <c r="B10" s="4">
        <v>44729.0833333333</v>
      </c>
      <c r="C10">
        <v>0</v>
      </c>
      <c r="D10">
        <v>0</v>
      </c>
      <c r="H10">
        <f t="shared" si="0"/>
        <v>0</v>
      </c>
      <c r="I10">
        <f t="shared" si="1"/>
        <v>0</v>
      </c>
      <c r="J10">
        <f t="shared" si="2"/>
        <v>0</v>
      </c>
      <c r="K10">
        <f t="shared" si="3"/>
        <v>1</v>
      </c>
    </row>
    <row r="11" spans="1:11">
      <c r="A11" s="4">
        <v>44729.09375</v>
      </c>
      <c r="B11" s="4">
        <v>44729.09375</v>
      </c>
      <c r="C11">
        <v>0</v>
      </c>
      <c r="D11">
        <v>0</v>
      </c>
      <c r="H11">
        <f t="shared" si="0"/>
        <v>0</v>
      </c>
      <c r="I11">
        <f t="shared" si="1"/>
        <v>0</v>
      </c>
      <c r="J11">
        <f t="shared" si="2"/>
        <v>0</v>
      </c>
      <c r="K11">
        <f t="shared" si="3"/>
        <v>1</v>
      </c>
    </row>
    <row r="12" spans="1:11">
      <c r="A12" s="4">
        <v>44729.1041666667</v>
      </c>
      <c r="B12" s="4">
        <v>44729.1041666667</v>
      </c>
      <c r="C12">
        <v>0</v>
      </c>
      <c r="D12">
        <v>0</v>
      </c>
      <c r="H12">
        <f t="shared" si="0"/>
        <v>0</v>
      </c>
      <c r="I12">
        <f t="shared" si="1"/>
        <v>0</v>
      </c>
      <c r="J12">
        <f t="shared" si="2"/>
        <v>0</v>
      </c>
      <c r="K12">
        <f t="shared" si="3"/>
        <v>1</v>
      </c>
    </row>
    <row r="13" spans="1:11">
      <c r="A13" s="4">
        <v>44729.1145833333</v>
      </c>
      <c r="B13" s="4">
        <v>44729.1145833333</v>
      </c>
      <c r="C13">
        <v>0</v>
      </c>
      <c r="D13">
        <v>0</v>
      </c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1</v>
      </c>
    </row>
    <row r="14" spans="1:11">
      <c r="A14" s="4">
        <v>44729.125</v>
      </c>
      <c r="B14" s="4">
        <v>44729.125</v>
      </c>
      <c r="C14">
        <v>0</v>
      </c>
      <c r="D14">
        <v>0</v>
      </c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1</v>
      </c>
    </row>
    <row r="15" spans="1:11">
      <c r="A15" s="4">
        <v>44729.1354166667</v>
      </c>
      <c r="B15" s="4">
        <v>44729.1354166667</v>
      </c>
      <c r="C15">
        <v>0</v>
      </c>
      <c r="D15">
        <v>0</v>
      </c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1</v>
      </c>
    </row>
    <row r="16" spans="1:11">
      <c r="A16" s="4">
        <v>44729.1458333333</v>
      </c>
      <c r="B16" s="4">
        <v>44729.1458333333</v>
      </c>
      <c r="C16">
        <v>0</v>
      </c>
      <c r="D16">
        <v>0</v>
      </c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1</v>
      </c>
    </row>
    <row r="17" spans="1:11">
      <c r="A17" s="4">
        <v>44729.15625</v>
      </c>
      <c r="B17" s="4">
        <v>44729.15625</v>
      </c>
      <c r="C17">
        <v>0</v>
      </c>
      <c r="D17">
        <v>0</v>
      </c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1</v>
      </c>
    </row>
    <row r="18" spans="1:11">
      <c r="A18" s="4">
        <v>44729.1666666667</v>
      </c>
      <c r="B18" s="4">
        <v>44729.1666666667</v>
      </c>
      <c r="C18">
        <v>0</v>
      </c>
      <c r="D18">
        <v>0</v>
      </c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1</v>
      </c>
    </row>
    <row r="19" spans="1:11">
      <c r="A19" s="4">
        <v>44729.1770833333</v>
      </c>
      <c r="B19" s="4">
        <v>44729.1770833333</v>
      </c>
      <c r="C19">
        <v>0</v>
      </c>
      <c r="D19">
        <v>0</v>
      </c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1</v>
      </c>
    </row>
    <row r="20" spans="1:11">
      <c r="A20" s="4">
        <v>44729.1875</v>
      </c>
      <c r="B20" s="4">
        <v>44729.1875</v>
      </c>
      <c r="C20">
        <v>0</v>
      </c>
      <c r="D20">
        <v>0</v>
      </c>
      <c r="H20">
        <f t="shared" si="0"/>
        <v>0</v>
      </c>
      <c r="I20">
        <f t="shared" si="1"/>
        <v>0</v>
      </c>
      <c r="J20">
        <f t="shared" si="2"/>
        <v>0</v>
      </c>
      <c r="K20">
        <f t="shared" si="3"/>
        <v>1</v>
      </c>
    </row>
    <row r="21" spans="1:11">
      <c r="A21" s="4">
        <v>44729.1979166667</v>
      </c>
      <c r="B21" s="4">
        <v>44729.1979166667</v>
      </c>
      <c r="C21">
        <v>0</v>
      </c>
      <c r="D21">
        <v>0</v>
      </c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1</v>
      </c>
    </row>
    <row r="22" spans="1:11">
      <c r="A22" s="4">
        <v>44729.2083333333</v>
      </c>
      <c r="B22" s="4">
        <v>44729.2083333333</v>
      </c>
      <c r="C22">
        <v>0</v>
      </c>
      <c r="D22">
        <v>0</v>
      </c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1</v>
      </c>
    </row>
    <row r="23" spans="1:11">
      <c r="A23" s="4">
        <v>44729.21875</v>
      </c>
      <c r="B23" s="4">
        <v>44729.21875</v>
      </c>
      <c r="C23">
        <v>0</v>
      </c>
      <c r="D23">
        <v>0</v>
      </c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1</v>
      </c>
    </row>
    <row r="24" spans="1:11">
      <c r="A24" s="4">
        <v>44729.2291666667</v>
      </c>
      <c r="B24" s="4">
        <v>44729.2291666667</v>
      </c>
      <c r="C24">
        <v>0</v>
      </c>
      <c r="D24">
        <v>0</v>
      </c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1</v>
      </c>
    </row>
    <row r="25" spans="1:11">
      <c r="A25" s="4">
        <v>44729.2395833333</v>
      </c>
      <c r="B25" s="4">
        <v>44729.2395833333</v>
      </c>
      <c r="C25">
        <v>0</v>
      </c>
      <c r="D25">
        <v>0</v>
      </c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1</v>
      </c>
    </row>
    <row r="26" spans="1:11">
      <c r="A26" s="4">
        <v>44729.25</v>
      </c>
      <c r="B26" s="4">
        <v>44729.25</v>
      </c>
      <c r="C26">
        <v>0</v>
      </c>
      <c r="D26">
        <v>0</v>
      </c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1</v>
      </c>
    </row>
    <row r="27" spans="1:11">
      <c r="A27" s="4">
        <v>44729.2604166667</v>
      </c>
      <c r="B27" s="4">
        <v>44729.2604166667</v>
      </c>
      <c r="C27">
        <v>0</v>
      </c>
      <c r="D27">
        <v>0</v>
      </c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1</v>
      </c>
    </row>
    <row r="28" spans="1:11">
      <c r="A28" s="4">
        <v>44729.2708333333</v>
      </c>
      <c r="B28" s="4">
        <v>44729.2708333333</v>
      </c>
      <c r="C28">
        <v>0</v>
      </c>
      <c r="D28">
        <v>0</v>
      </c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1</v>
      </c>
    </row>
    <row r="29" spans="1:11">
      <c r="A29" s="4">
        <v>44729.28125</v>
      </c>
      <c r="B29" s="4">
        <v>44729.28125</v>
      </c>
      <c r="C29">
        <v>0</v>
      </c>
      <c r="D29">
        <v>0</v>
      </c>
      <c r="H29">
        <f t="shared" si="0"/>
        <v>0</v>
      </c>
      <c r="I29">
        <f t="shared" si="1"/>
        <v>0</v>
      </c>
      <c r="J29">
        <f t="shared" si="2"/>
        <v>0</v>
      </c>
      <c r="K29">
        <f t="shared" si="3"/>
        <v>1</v>
      </c>
    </row>
    <row r="30" spans="1:11">
      <c r="A30" s="4">
        <v>44729.2916666667</v>
      </c>
      <c r="B30" s="4">
        <v>44729.2916666667</v>
      </c>
      <c r="C30">
        <v>0</v>
      </c>
      <c r="D30">
        <v>0</v>
      </c>
      <c r="H30">
        <f t="shared" si="0"/>
        <v>0</v>
      </c>
      <c r="I30">
        <f t="shared" si="1"/>
        <v>0</v>
      </c>
      <c r="J30">
        <f t="shared" si="2"/>
        <v>0</v>
      </c>
      <c r="K30">
        <f t="shared" si="3"/>
        <v>1</v>
      </c>
    </row>
    <row r="31" spans="1:11">
      <c r="A31" s="4">
        <v>44729.3020833333</v>
      </c>
      <c r="B31" s="4">
        <v>44729.3020833333</v>
      </c>
      <c r="C31">
        <v>0</v>
      </c>
      <c r="D31">
        <v>1.051575</v>
      </c>
      <c r="H31">
        <f t="shared" si="0"/>
        <v>0</v>
      </c>
      <c r="I31">
        <f t="shared" si="1"/>
        <v>0</v>
      </c>
      <c r="J31">
        <f t="shared" si="2"/>
        <v>0</v>
      </c>
      <c r="K31">
        <f t="shared" si="3"/>
        <v>1</v>
      </c>
    </row>
    <row r="32" spans="1:11">
      <c r="A32" s="4">
        <v>44729.3125</v>
      </c>
      <c r="B32" s="4">
        <v>44729.3125</v>
      </c>
      <c r="C32">
        <v>1.012162</v>
      </c>
      <c r="D32">
        <v>1.548981</v>
      </c>
      <c r="H32">
        <f t="shared" si="0"/>
        <v>0.346562675720361</v>
      </c>
      <c r="I32">
        <f t="shared" si="1"/>
        <v>0.346562675720361</v>
      </c>
      <c r="J32">
        <f t="shared" si="2"/>
        <v>0.346562675720361</v>
      </c>
      <c r="K32">
        <f t="shared" si="3"/>
        <v>0</v>
      </c>
    </row>
    <row r="33" spans="1:11">
      <c r="A33" s="4">
        <v>44729.3229166667</v>
      </c>
      <c r="B33" s="4">
        <v>44729.3229166667</v>
      </c>
      <c r="C33">
        <v>1.520407</v>
      </c>
      <c r="D33">
        <v>2.252276</v>
      </c>
      <c r="H33">
        <f t="shared" si="0"/>
        <v>0.324946409765055</v>
      </c>
      <c r="I33">
        <f t="shared" si="1"/>
        <v>0.324946409765055</v>
      </c>
      <c r="J33">
        <f t="shared" si="2"/>
        <v>0.324946409765055</v>
      </c>
      <c r="K33">
        <f t="shared" si="3"/>
        <v>0</v>
      </c>
    </row>
    <row r="34" spans="1:11">
      <c r="A34" s="4">
        <v>44729.3333333333</v>
      </c>
      <c r="B34" s="4">
        <v>44729.3333333333</v>
      </c>
      <c r="C34">
        <v>2.147789</v>
      </c>
      <c r="D34">
        <v>3.122015</v>
      </c>
      <c r="H34">
        <f t="shared" si="0"/>
        <v>0.312050390533037</v>
      </c>
      <c r="I34">
        <f t="shared" si="1"/>
        <v>0.312050390533037</v>
      </c>
      <c r="J34">
        <f t="shared" si="2"/>
        <v>0.312050390533037</v>
      </c>
      <c r="K34">
        <f t="shared" si="3"/>
        <v>0</v>
      </c>
    </row>
    <row r="35" spans="1:11">
      <c r="A35" s="4">
        <v>44729.34375</v>
      </c>
      <c r="B35" s="4">
        <v>44729.34375</v>
      </c>
      <c r="C35">
        <v>3.027694</v>
      </c>
      <c r="D35">
        <v>4.116826</v>
      </c>
      <c r="H35">
        <f t="shared" ref="H35:H63" si="4">IF(AND(C35=0,D35&lt;=$F$2),0,IF(AND(D35=0,C35&lt;=$F$2),0,IF(AND(D35=0,C35&gt;$F$2),1,ABS(C35-D35)/D35)))</f>
        <v>0.264556238228188</v>
      </c>
      <c r="I35">
        <f t="shared" ref="I35:I63" si="5">IF(AND(D35=0,C35&lt;=$F$2),0,IF(AND(D35=0,C35&gt;$F$2),1,H35))</f>
        <v>0.264556238228188</v>
      </c>
      <c r="J35">
        <f t="shared" ref="J35:J63" si="6">IF(AND(C35=0,D35&lt;=$F$2),0,IF(AND(C35=0,D35&gt;$F$2),1,H35))</f>
        <v>0.264556238228188</v>
      </c>
      <c r="K35">
        <f t="shared" ref="K35:K63" si="7">IF(H35&lt;=$G$2,1,0)</f>
        <v>0</v>
      </c>
    </row>
    <row r="36" spans="1:11">
      <c r="A36" s="4">
        <v>44729.3541666667</v>
      </c>
      <c r="B36" s="4">
        <v>44729.3541666667</v>
      </c>
      <c r="C36">
        <v>4.167875</v>
      </c>
      <c r="D36">
        <v>5.197264</v>
      </c>
      <c r="H36">
        <f t="shared" si="4"/>
        <v>0.198063635020272</v>
      </c>
      <c r="I36">
        <f t="shared" si="5"/>
        <v>0.198063635020272</v>
      </c>
      <c r="J36">
        <f t="shared" si="6"/>
        <v>0.198063635020272</v>
      </c>
      <c r="K36">
        <f t="shared" si="7"/>
        <v>1</v>
      </c>
    </row>
    <row r="37" spans="1:11">
      <c r="A37" s="4">
        <v>44729.3645833333</v>
      </c>
      <c r="B37" s="4">
        <v>44729.3645833333</v>
      </c>
      <c r="C37">
        <v>5.303651</v>
      </c>
      <c r="D37">
        <v>6.32292</v>
      </c>
      <c r="H37">
        <f t="shared" si="4"/>
        <v>0.161202260980686</v>
      </c>
      <c r="I37">
        <f t="shared" si="5"/>
        <v>0.161202260980686</v>
      </c>
      <c r="J37">
        <f t="shared" si="6"/>
        <v>0.161202260980686</v>
      </c>
      <c r="K37">
        <f t="shared" si="7"/>
        <v>1</v>
      </c>
    </row>
    <row r="38" spans="1:11">
      <c r="A38" s="4">
        <v>44729.375</v>
      </c>
      <c r="B38" s="4">
        <v>44729.375</v>
      </c>
      <c r="C38">
        <v>6.382785</v>
      </c>
      <c r="D38">
        <v>7.453389</v>
      </c>
      <c r="H38">
        <f t="shared" si="4"/>
        <v>0.143639893208311</v>
      </c>
      <c r="I38">
        <f t="shared" si="5"/>
        <v>0.143639893208311</v>
      </c>
      <c r="J38">
        <f t="shared" si="6"/>
        <v>0.143639893208311</v>
      </c>
      <c r="K38">
        <f t="shared" si="7"/>
        <v>1</v>
      </c>
    </row>
    <row r="39" spans="1:11">
      <c r="A39" s="4">
        <v>44729.3854166667</v>
      </c>
      <c r="B39" s="4">
        <v>44729.3854166667</v>
      </c>
      <c r="C39">
        <v>7.328796</v>
      </c>
      <c r="D39">
        <v>8.548258</v>
      </c>
      <c r="H39">
        <f t="shared" si="4"/>
        <v>0.142656199660796</v>
      </c>
      <c r="I39">
        <f t="shared" si="5"/>
        <v>0.142656199660796</v>
      </c>
      <c r="J39">
        <f t="shared" si="6"/>
        <v>0.142656199660796</v>
      </c>
      <c r="K39">
        <f t="shared" si="7"/>
        <v>1</v>
      </c>
    </row>
    <row r="40" spans="1:11">
      <c r="A40" s="4">
        <v>44729.3958333333</v>
      </c>
      <c r="B40" s="4">
        <v>44729.3958333333</v>
      </c>
      <c r="C40">
        <v>8.540904</v>
      </c>
      <c r="D40">
        <v>9.567122</v>
      </c>
      <c r="H40">
        <f t="shared" si="4"/>
        <v>0.107265068847246</v>
      </c>
      <c r="I40">
        <f t="shared" si="5"/>
        <v>0.107265068847246</v>
      </c>
      <c r="J40">
        <f t="shared" si="6"/>
        <v>0.107265068847246</v>
      </c>
      <c r="K40">
        <f t="shared" si="7"/>
        <v>1</v>
      </c>
    </row>
    <row r="41" spans="1:11">
      <c r="A41" s="4">
        <v>44729.40625</v>
      </c>
      <c r="B41" s="4">
        <v>44729.40625</v>
      </c>
      <c r="C41">
        <v>9.818505</v>
      </c>
      <c r="D41">
        <v>10.492663</v>
      </c>
      <c r="H41">
        <f t="shared" si="4"/>
        <v>0.0642504195550739</v>
      </c>
      <c r="I41">
        <f t="shared" si="5"/>
        <v>0.0642504195550739</v>
      </c>
      <c r="J41">
        <f t="shared" si="6"/>
        <v>0.0642504195550739</v>
      </c>
      <c r="K41">
        <f t="shared" si="7"/>
        <v>1</v>
      </c>
    </row>
    <row r="42" spans="1:11">
      <c r="A42" s="4">
        <v>44729.4166666667</v>
      </c>
      <c r="B42" s="4">
        <v>44729.4166666667</v>
      </c>
      <c r="C42">
        <v>11.252011</v>
      </c>
      <c r="D42">
        <v>11.429748</v>
      </c>
      <c r="H42">
        <f t="shared" si="4"/>
        <v>0.0155503865877008</v>
      </c>
      <c r="I42">
        <f t="shared" si="5"/>
        <v>0.0155503865877008</v>
      </c>
      <c r="J42">
        <f t="shared" si="6"/>
        <v>0.0155503865877008</v>
      </c>
      <c r="K42">
        <f t="shared" si="7"/>
        <v>1</v>
      </c>
    </row>
    <row r="43" spans="1:11">
      <c r="A43" s="4">
        <v>44729.4270833333</v>
      </c>
      <c r="B43" s="4">
        <v>44729.4270833333</v>
      </c>
      <c r="C43">
        <v>11.19128</v>
      </c>
      <c r="D43">
        <v>12.390886</v>
      </c>
      <c r="H43">
        <f t="shared" si="4"/>
        <v>0.0968135773341793</v>
      </c>
      <c r="I43">
        <f t="shared" si="5"/>
        <v>0.0968135773341793</v>
      </c>
      <c r="J43">
        <f t="shared" si="6"/>
        <v>0.0968135773341793</v>
      </c>
      <c r="K43">
        <f t="shared" si="7"/>
        <v>1</v>
      </c>
    </row>
    <row r="44" spans="1:11">
      <c r="A44" s="4">
        <v>44729.4375</v>
      </c>
      <c r="B44" s="4">
        <v>44729.4375</v>
      </c>
      <c r="C44">
        <v>13.246506</v>
      </c>
      <c r="D44">
        <v>13.368379</v>
      </c>
      <c r="H44">
        <f t="shared" si="4"/>
        <v>0.0091165129295032</v>
      </c>
      <c r="I44">
        <f t="shared" si="5"/>
        <v>0.0091165129295032</v>
      </c>
      <c r="J44">
        <f t="shared" si="6"/>
        <v>0.0091165129295032</v>
      </c>
      <c r="K44">
        <f t="shared" si="7"/>
        <v>1</v>
      </c>
    </row>
    <row r="45" spans="1:11">
      <c r="A45" s="4">
        <v>44729.4479166667</v>
      </c>
      <c r="B45" s="4">
        <v>44729.4479166667</v>
      </c>
      <c r="C45">
        <v>13.168933</v>
      </c>
      <c r="D45">
        <v>14.353571</v>
      </c>
      <c r="H45">
        <f t="shared" si="4"/>
        <v>0.0825326324717382</v>
      </c>
      <c r="I45">
        <f t="shared" si="5"/>
        <v>0.0825326324717382</v>
      </c>
      <c r="J45">
        <f t="shared" si="6"/>
        <v>0.0825326324717382</v>
      </c>
      <c r="K45">
        <f t="shared" si="7"/>
        <v>1</v>
      </c>
    </row>
    <row r="46" spans="1:11">
      <c r="A46" s="4">
        <v>44729.4583333333</v>
      </c>
      <c r="B46" s="4">
        <v>44729.4583333333</v>
      </c>
      <c r="C46">
        <v>13.462818</v>
      </c>
      <c r="D46">
        <v>15.336836</v>
      </c>
      <c r="H46">
        <f t="shared" si="4"/>
        <v>0.122190652622223</v>
      </c>
      <c r="I46">
        <f t="shared" si="5"/>
        <v>0.122190652622223</v>
      </c>
      <c r="J46">
        <f t="shared" si="6"/>
        <v>0.122190652622223</v>
      </c>
      <c r="K46">
        <f t="shared" si="7"/>
        <v>1</v>
      </c>
    </row>
    <row r="47" spans="2:11">
      <c r="B47" s="4">
        <v>44729.46875</v>
      </c>
      <c r="C47">
        <v>14.702247</v>
      </c>
      <c r="D47">
        <v>16.309519</v>
      </c>
      <c r="H47">
        <f t="shared" si="4"/>
        <v>0.0985480932944743</v>
      </c>
      <c r="I47">
        <f t="shared" si="5"/>
        <v>0.0985480932944743</v>
      </c>
      <c r="J47">
        <f t="shared" si="6"/>
        <v>0.0985480932944743</v>
      </c>
      <c r="K47">
        <f t="shared" si="7"/>
        <v>1</v>
      </c>
    </row>
    <row r="48" spans="2:11">
      <c r="B48" s="4">
        <v>44729.4791666667</v>
      </c>
      <c r="C48">
        <v>16.893316</v>
      </c>
      <c r="D48">
        <v>17.264885</v>
      </c>
      <c r="H48">
        <f t="shared" si="4"/>
        <v>0.0215216608740806</v>
      </c>
      <c r="I48">
        <f t="shared" si="5"/>
        <v>0.0215216608740806</v>
      </c>
      <c r="J48">
        <f t="shared" si="6"/>
        <v>0.0215216608740806</v>
      </c>
      <c r="K48">
        <f t="shared" si="7"/>
        <v>1</v>
      </c>
    </row>
    <row r="49" spans="2:11">
      <c r="B49" s="4">
        <v>44729.4895833333</v>
      </c>
      <c r="C49">
        <v>16.946383</v>
      </c>
      <c r="D49">
        <v>18.191387</v>
      </c>
      <c r="H49">
        <f t="shared" si="4"/>
        <v>0.0684392014748517</v>
      </c>
      <c r="I49">
        <f t="shared" si="5"/>
        <v>0.0684392014748517</v>
      </c>
      <c r="J49">
        <f t="shared" si="6"/>
        <v>0.0684392014748517</v>
      </c>
      <c r="K49">
        <f t="shared" si="7"/>
        <v>1</v>
      </c>
    </row>
    <row r="50" spans="2:11">
      <c r="B50" s="4">
        <v>44729.5</v>
      </c>
      <c r="C50">
        <v>18.358595</v>
      </c>
      <c r="D50">
        <v>19.083254</v>
      </c>
      <c r="H50">
        <f t="shared" si="4"/>
        <v>0.0379735552437755</v>
      </c>
      <c r="I50">
        <f t="shared" si="5"/>
        <v>0.0379735552437755</v>
      </c>
      <c r="J50">
        <f t="shared" si="6"/>
        <v>0.0379735552437755</v>
      </c>
      <c r="K50">
        <f t="shared" si="7"/>
        <v>1</v>
      </c>
    </row>
    <row r="51" spans="2:11">
      <c r="B51" s="4">
        <v>44729.5104166667</v>
      </c>
      <c r="C51">
        <v>19.682817</v>
      </c>
      <c r="D51">
        <v>19.929901</v>
      </c>
      <c r="H51">
        <f t="shared" si="4"/>
        <v>0.0123976531544236</v>
      </c>
      <c r="I51">
        <f t="shared" si="5"/>
        <v>0.0123976531544236</v>
      </c>
      <c r="J51">
        <f t="shared" si="6"/>
        <v>0.0123976531544236</v>
      </c>
      <c r="K51">
        <f t="shared" si="7"/>
        <v>1</v>
      </c>
    </row>
    <row r="52" spans="2:11">
      <c r="B52" s="4">
        <v>44729.5208333333</v>
      </c>
      <c r="C52">
        <v>19.282236</v>
      </c>
      <c r="D52">
        <v>20.723635</v>
      </c>
      <c r="H52">
        <f t="shared" si="4"/>
        <v>0.0695533867489946</v>
      </c>
      <c r="I52">
        <f t="shared" si="5"/>
        <v>0.0695533867489946</v>
      </c>
      <c r="J52">
        <f t="shared" si="6"/>
        <v>0.0695533867489946</v>
      </c>
      <c r="K52">
        <f t="shared" si="7"/>
        <v>1</v>
      </c>
    </row>
    <row r="53" spans="2:11">
      <c r="B53" s="4">
        <v>44729.53125</v>
      </c>
      <c r="C53">
        <v>19.758213</v>
      </c>
      <c r="D53">
        <v>21.454828</v>
      </c>
      <c r="H53">
        <f t="shared" si="4"/>
        <v>0.0790784712886068</v>
      </c>
      <c r="I53">
        <f t="shared" si="5"/>
        <v>0.0790784712886068</v>
      </c>
      <c r="J53">
        <f t="shared" si="6"/>
        <v>0.0790784712886068</v>
      </c>
      <c r="K53">
        <f t="shared" si="7"/>
        <v>1</v>
      </c>
    </row>
    <row r="54" spans="2:11">
      <c r="B54" s="4">
        <v>44729.5416666667</v>
      </c>
      <c r="C54">
        <v>21.147829</v>
      </c>
      <c r="D54">
        <v>22.115793</v>
      </c>
      <c r="H54">
        <f t="shared" si="4"/>
        <v>0.0437679987328512</v>
      </c>
      <c r="I54">
        <f t="shared" si="5"/>
        <v>0.0437679987328512</v>
      </c>
      <c r="J54">
        <f t="shared" si="6"/>
        <v>0.0437679987328512</v>
      </c>
      <c r="K54">
        <f t="shared" si="7"/>
        <v>1</v>
      </c>
    </row>
    <row r="55" spans="2:11">
      <c r="B55" s="4">
        <v>44729.5520833333</v>
      </c>
      <c r="C55">
        <v>21.678576</v>
      </c>
      <c r="D55">
        <v>22.697865</v>
      </c>
      <c r="H55">
        <f t="shared" si="4"/>
        <v>0.0449068227342087</v>
      </c>
      <c r="I55">
        <f t="shared" si="5"/>
        <v>0.0449068227342087</v>
      </c>
      <c r="J55">
        <f t="shared" si="6"/>
        <v>0.0449068227342087</v>
      </c>
      <c r="K55">
        <f t="shared" si="7"/>
        <v>1</v>
      </c>
    </row>
    <row r="56" spans="2:11">
      <c r="B56" s="4">
        <v>44729.5625</v>
      </c>
      <c r="C56">
        <v>23.458244</v>
      </c>
      <c r="D56">
        <v>23.250111</v>
      </c>
      <c r="H56">
        <f t="shared" si="4"/>
        <v>0.00895191425107605</v>
      </c>
      <c r="I56">
        <f t="shared" si="5"/>
        <v>0.00895191425107605</v>
      </c>
      <c r="J56">
        <f t="shared" si="6"/>
        <v>0.00895191425107605</v>
      </c>
      <c r="K56">
        <f t="shared" si="7"/>
        <v>1</v>
      </c>
    </row>
    <row r="57" spans="2:11">
      <c r="B57" s="4">
        <v>44729.5729166667</v>
      </c>
      <c r="C57">
        <v>23.059263</v>
      </c>
      <c r="D57">
        <v>23.812937</v>
      </c>
      <c r="H57">
        <f t="shared" si="4"/>
        <v>0.0316497708787455</v>
      </c>
      <c r="I57">
        <f t="shared" si="5"/>
        <v>0.0316497708787455</v>
      </c>
      <c r="J57">
        <f t="shared" si="6"/>
        <v>0.0316497708787455</v>
      </c>
      <c r="K57">
        <f t="shared" si="7"/>
        <v>1</v>
      </c>
    </row>
    <row r="58" spans="1:11">
      <c r="A58" s="4">
        <v>44729.5833333333</v>
      </c>
      <c r="B58" s="4">
        <v>44729.5833333333</v>
      </c>
      <c r="C58">
        <v>23.27235</v>
      </c>
      <c r="D58">
        <v>24.366144</v>
      </c>
      <c r="H58">
        <f t="shared" si="4"/>
        <v>0.0448899095400569</v>
      </c>
      <c r="I58">
        <f t="shared" si="5"/>
        <v>0.0448899095400569</v>
      </c>
      <c r="J58">
        <f t="shared" si="6"/>
        <v>0.0448899095400569</v>
      </c>
      <c r="K58">
        <f t="shared" si="7"/>
        <v>1</v>
      </c>
    </row>
    <row r="59" spans="1:11">
      <c r="A59" s="4">
        <v>44729.59375</v>
      </c>
      <c r="B59" s="4">
        <v>44729.59375</v>
      </c>
      <c r="C59">
        <v>23.251299</v>
      </c>
      <c r="D59">
        <v>24.890491</v>
      </c>
      <c r="H59">
        <f t="shared" si="4"/>
        <v>0.0658561536612517</v>
      </c>
      <c r="I59">
        <f t="shared" si="5"/>
        <v>0.0658561536612517</v>
      </c>
      <c r="J59">
        <f t="shared" si="6"/>
        <v>0.0658561536612517</v>
      </c>
      <c r="K59">
        <f t="shared" si="7"/>
        <v>1</v>
      </c>
    </row>
    <row r="60" spans="1:11">
      <c r="A60" s="4">
        <v>44729.6041666667</v>
      </c>
      <c r="B60" s="4">
        <v>44729.6041666667</v>
      </c>
      <c r="C60">
        <v>24.802427</v>
      </c>
      <c r="D60">
        <v>25.364801</v>
      </c>
      <c r="H60">
        <f t="shared" si="4"/>
        <v>0.0221714335547122</v>
      </c>
      <c r="I60">
        <f t="shared" si="5"/>
        <v>0.0221714335547122</v>
      </c>
      <c r="J60">
        <f t="shared" si="6"/>
        <v>0.0221714335547122</v>
      </c>
      <c r="K60">
        <f t="shared" si="7"/>
        <v>1</v>
      </c>
    </row>
    <row r="61" spans="1:11">
      <c r="A61" s="4">
        <v>44729.6145833333</v>
      </c>
      <c r="B61" s="4">
        <v>44729.6145833333</v>
      </c>
      <c r="C61">
        <v>24.844379</v>
      </c>
      <c r="D61">
        <v>25.768887</v>
      </c>
      <c r="H61">
        <f t="shared" si="4"/>
        <v>0.0358769084594146</v>
      </c>
      <c r="I61">
        <f t="shared" si="5"/>
        <v>0.0358769084594146</v>
      </c>
      <c r="J61">
        <f t="shared" si="6"/>
        <v>0.0358769084594146</v>
      </c>
      <c r="K61">
        <f t="shared" si="7"/>
        <v>1</v>
      </c>
    </row>
    <row r="62" spans="1:11">
      <c r="A62" s="4">
        <v>44729.625</v>
      </c>
      <c r="B62" s="4">
        <v>44729.625</v>
      </c>
      <c r="C62">
        <v>25.573544</v>
      </c>
      <c r="D62">
        <v>26.08349</v>
      </c>
      <c r="H62">
        <f t="shared" si="4"/>
        <v>0.0195505279393211</v>
      </c>
      <c r="I62">
        <f t="shared" si="5"/>
        <v>0.0195505279393211</v>
      </c>
      <c r="J62">
        <f t="shared" si="6"/>
        <v>0.0195505279393211</v>
      </c>
      <c r="K62">
        <f t="shared" si="7"/>
        <v>1</v>
      </c>
    </row>
    <row r="63" spans="1:11">
      <c r="A63" s="4">
        <v>44729.6354166667</v>
      </c>
      <c r="B63" s="4">
        <v>44729.6354166667</v>
      </c>
      <c r="C63">
        <v>25.460232</v>
      </c>
      <c r="D63">
        <v>26.286493</v>
      </c>
      <c r="H63">
        <f t="shared" si="4"/>
        <v>0.0314329111913103</v>
      </c>
      <c r="I63">
        <f t="shared" si="5"/>
        <v>0.0314329111913103</v>
      </c>
      <c r="J63">
        <f t="shared" si="6"/>
        <v>0.0314329111913103</v>
      </c>
      <c r="K63">
        <f t="shared" si="7"/>
        <v>1</v>
      </c>
    </row>
    <row r="64" spans="1:11">
      <c r="A64" s="4"/>
      <c r="B64" s="4">
        <v>44729.6458333333</v>
      </c>
      <c r="C64">
        <v>25.22831</v>
      </c>
      <c r="D64">
        <v>26.358654</v>
      </c>
      <c r="H64">
        <f t="shared" ref="H64:H97" si="8">IF(AND(C64=0,D64&lt;=$F$2),0,IF(AND(D64=0,C64&lt;=$F$2),0,IF(AND(D64=0,C64&gt;$F$2),1,ABS(C64-D64)/D64)))</f>
        <v>0.042883221578765</v>
      </c>
      <c r="I64">
        <f t="shared" ref="I64:I97" si="9">IF(AND(D64=0,C64&lt;=$F$2),0,IF(AND(D64=0,C64&gt;$F$2),1,H64))</f>
        <v>0.042883221578765</v>
      </c>
      <c r="J64">
        <f t="shared" ref="J64:J97" si="10">IF(AND(C64=0,D64&lt;=$F$2),0,IF(AND(C64=0,D64&gt;$F$2),1,H64))</f>
        <v>0.042883221578765</v>
      </c>
      <c r="K64">
        <f t="shared" ref="K64:K97" si="11">IF(H64&lt;=$G$2,1,0)</f>
        <v>1</v>
      </c>
    </row>
    <row r="65" spans="1:11">
      <c r="A65" s="4"/>
      <c r="B65" s="4">
        <v>44729.65625</v>
      </c>
      <c r="C65">
        <v>25.501255</v>
      </c>
      <c r="D65">
        <v>25.991131</v>
      </c>
      <c r="H65">
        <f t="shared" si="8"/>
        <v>0.0188478138946704</v>
      </c>
      <c r="I65">
        <f t="shared" si="9"/>
        <v>0.0188478138946704</v>
      </c>
      <c r="J65">
        <f t="shared" si="10"/>
        <v>0.0188478138946704</v>
      </c>
      <c r="K65">
        <f t="shared" si="11"/>
        <v>1</v>
      </c>
    </row>
    <row r="66" spans="1:11">
      <c r="A66" s="4"/>
      <c r="B66" s="4">
        <v>44729.6666666667</v>
      </c>
      <c r="C66">
        <v>25.842052</v>
      </c>
      <c r="D66">
        <v>24.968418</v>
      </c>
      <c r="H66">
        <f t="shared" si="8"/>
        <v>0.0349895616133949</v>
      </c>
      <c r="I66">
        <f t="shared" si="9"/>
        <v>0.0349895616133949</v>
      </c>
      <c r="J66">
        <f t="shared" si="10"/>
        <v>0.0349895616133949</v>
      </c>
      <c r="K66">
        <f t="shared" si="11"/>
        <v>1</v>
      </c>
    </row>
    <row r="67" spans="1:11">
      <c r="A67" s="4"/>
      <c r="B67" s="4">
        <v>44729.6770833333</v>
      </c>
      <c r="C67">
        <v>22.696827</v>
      </c>
      <c r="D67">
        <v>23.409817</v>
      </c>
      <c r="H67">
        <f t="shared" si="8"/>
        <v>0.0304568805471654</v>
      </c>
      <c r="I67">
        <f t="shared" si="9"/>
        <v>0.0304568805471654</v>
      </c>
      <c r="J67">
        <f t="shared" si="10"/>
        <v>0.0304568805471654</v>
      </c>
      <c r="K67">
        <f t="shared" si="11"/>
        <v>1</v>
      </c>
    </row>
    <row r="68" spans="1:11">
      <c r="A68" s="4"/>
      <c r="B68" s="4">
        <v>44729.6875</v>
      </c>
      <c r="C68">
        <v>23.166964</v>
      </c>
      <c r="D68">
        <v>21.435589</v>
      </c>
      <c r="H68">
        <f t="shared" si="8"/>
        <v>0.0807710485585444</v>
      </c>
      <c r="I68">
        <f t="shared" si="9"/>
        <v>0.0807710485585444</v>
      </c>
      <c r="J68">
        <f t="shared" si="10"/>
        <v>0.0807710485585444</v>
      </c>
      <c r="K68">
        <f t="shared" si="11"/>
        <v>1</v>
      </c>
    </row>
    <row r="69" spans="1:11">
      <c r="A69" s="4"/>
      <c r="B69" s="4">
        <v>44729.6979166667</v>
      </c>
      <c r="C69">
        <v>20.968792</v>
      </c>
      <c r="D69">
        <v>19.163109</v>
      </c>
      <c r="H69">
        <f t="shared" si="8"/>
        <v>0.0942270380030715</v>
      </c>
      <c r="I69">
        <f t="shared" si="9"/>
        <v>0.0942270380030715</v>
      </c>
      <c r="J69">
        <f t="shared" si="10"/>
        <v>0.0942270380030715</v>
      </c>
      <c r="K69">
        <f t="shared" si="11"/>
        <v>1</v>
      </c>
    </row>
    <row r="70" spans="1:11">
      <c r="A70" s="4"/>
      <c r="B70" s="4">
        <v>44729.7083333333</v>
      </c>
      <c r="C70">
        <v>17.632334</v>
      </c>
      <c r="D70">
        <v>16.7136</v>
      </c>
      <c r="H70">
        <f t="shared" si="8"/>
        <v>0.05496924660157</v>
      </c>
      <c r="I70">
        <f t="shared" si="9"/>
        <v>0.05496924660157</v>
      </c>
      <c r="J70">
        <f t="shared" si="10"/>
        <v>0.05496924660157</v>
      </c>
      <c r="K70">
        <f t="shared" si="11"/>
        <v>1</v>
      </c>
    </row>
    <row r="71" spans="1:11">
      <c r="A71" s="4"/>
      <c r="B71" s="4">
        <v>44729.71875</v>
      </c>
      <c r="C71">
        <v>16.84222</v>
      </c>
      <c r="D71">
        <v>14.206369</v>
      </c>
      <c r="H71">
        <f t="shared" si="8"/>
        <v>0.185540091208387</v>
      </c>
      <c r="I71">
        <f t="shared" si="9"/>
        <v>0.185540091208387</v>
      </c>
      <c r="J71">
        <f t="shared" si="10"/>
        <v>0.185540091208387</v>
      </c>
      <c r="K71">
        <f t="shared" si="11"/>
        <v>1</v>
      </c>
    </row>
    <row r="72" spans="1:11">
      <c r="A72" s="4"/>
      <c r="B72" s="4">
        <v>44729.7291666667</v>
      </c>
      <c r="C72">
        <v>13.701674</v>
      </c>
      <c r="D72">
        <v>11.760709</v>
      </c>
      <c r="H72">
        <f t="shared" si="8"/>
        <v>0.165038094216939</v>
      </c>
      <c r="I72">
        <f t="shared" si="9"/>
        <v>0.165038094216939</v>
      </c>
      <c r="J72">
        <f t="shared" si="10"/>
        <v>0.165038094216939</v>
      </c>
      <c r="K72">
        <f t="shared" si="11"/>
        <v>1</v>
      </c>
    </row>
    <row r="73" spans="1:11">
      <c r="A73" s="4"/>
      <c r="B73" s="4">
        <v>44729.7395833333</v>
      </c>
      <c r="C73">
        <v>11.439572</v>
      </c>
      <c r="D73">
        <v>9.494965</v>
      </c>
      <c r="H73">
        <f t="shared" si="8"/>
        <v>0.204804019814712</v>
      </c>
      <c r="I73">
        <f t="shared" si="9"/>
        <v>0.204804019814712</v>
      </c>
      <c r="J73">
        <f t="shared" si="10"/>
        <v>0.204804019814712</v>
      </c>
      <c r="K73">
        <f t="shared" si="11"/>
        <v>0</v>
      </c>
    </row>
    <row r="74" spans="1:11">
      <c r="A74" s="4"/>
      <c r="B74" s="4">
        <v>44729.75</v>
      </c>
      <c r="C74">
        <v>9.637115</v>
      </c>
      <c r="D74">
        <v>7.529395</v>
      </c>
      <c r="H74">
        <f t="shared" si="8"/>
        <v>0.279932185786507</v>
      </c>
      <c r="I74">
        <f t="shared" si="9"/>
        <v>0.279932185786507</v>
      </c>
      <c r="J74">
        <f t="shared" si="10"/>
        <v>0.279932185786507</v>
      </c>
      <c r="K74">
        <f t="shared" si="11"/>
        <v>0</v>
      </c>
    </row>
    <row r="75" spans="1:11">
      <c r="A75" s="4"/>
      <c r="B75" s="4">
        <v>44729.7604166667</v>
      </c>
      <c r="C75">
        <v>7.659983</v>
      </c>
      <c r="D75">
        <v>5.876507</v>
      </c>
      <c r="H75">
        <f t="shared" si="8"/>
        <v>0.30349253391513</v>
      </c>
      <c r="I75">
        <f t="shared" si="9"/>
        <v>0.30349253391513</v>
      </c>
      <c r="J75">
        <f t="shared" si="10"/>
        <v>0.30349253391513</v>
      </c>
      <c r="K75">
        <f t="shared" si="11"/>
        <v>0</v>
      </c>
    </row>
    <row r="76" spans="1:11">
      <c r="A76" s="4"/>
      <c r="B76" s="4">
        <v>44729.7708333333</v>
      </c>
      <c r="C76">
        <v>5.984618</v>
      </c>
      <c r="D76">
        <v>4.078342</v>
      </c>
      <c r="H76">
        <f t="shared" si="8"/>
        <v>0.467414454207126</v>
      </c>
      <c r="I76">
        <f t="shared" si="9"/>
        <v>0.467414454207126</v>
      </c>
      <c r="J76">
        <f t="shared" si="10"/>
        <v>0.467414454207126</v>
      </c>
      <c r="K76">
        <f t="shared" si="11"/>
        <v>0</v>
      </c>
    </row>
    <row r="77" spans="1:11">
      <c r="A77" s="4"/>
      <c r="B77" s="4">
        <v>44729.78125</v>
      </c>
      <c r="C77">
        <v>4.087901</v>
      </c>
      <c r="D77">
        <v>2.316737</v>
      </c>
      <c r="H77">
        <f t="shared" si="8"/>
        <v>0.764508012778317</v>
      </c>
      <c r="I77">
        <f t="shared" si="9"/>
        <v>0.764508012778317</v>
      </c>
      <c r="J77">
        <f t="shared" si="10"/>
        <v>0.764508012778317</v>
      </c>
      <c r="K77">
        <f t="shared" si="11"/>
        <v>0</v>
      </c>
    </row>
    <row r="78" spans="1:11">
      <c r="A78" s="4"/>
      <c r="B78" s="4">
        <v>44729.7916666667</v>
      </c>
      <c r="C78">
        <v>2.344751</v>
      </c>
      <c r="D78">
        <v>0</v>
      </c>
      <c r="H78">
        <f t="shared" si="8"/>
        <v>0</v>
      </c>
      <c r="I78">
        <f t="shared" si="9"/>
        <v>0</v>
      </c>
      <c r="J78">
        <f t="shared" si="10"/>
        <v>0</v>
      </c>
      <c r="K78">
        <f t="shared" si="11"/>
        <v>1</v>
      </c>
    </row>
    <row r="79" spans="1:11">
      <c r="A79" s="4"/>
      <c r="B79" s="4">
        <v>44729.8020833333</v>
      </c>
      <c r="C79">
        <v>0.014986</v>
      </c>
      <c r="D79">
        <v>0</v>
      </c>
      <c r="H79">
        <f t="shared" si="8"/>
        <v>0</v>
      </c>
      <c r="I79">
        <f t="shared" si="9"/>
        <v>0</v>
      </c>
      <c r="J79">
        <f t="shared" si="10"/>
        <v>0</v>
      </c>
      <c r="K79">
        <f t="shared" si="11"/>
        <v>1</v>
      </c>
    </row>
    <row r="80" spans="1:11">
      <c r="A80" s="4"/>
      <c r="B80" s="4">
        <v>44729.8125</v>
      </c>
      <c r="C80">
        <v>0</v>
      </c>
      <c r="D80">
        <v>0</v>
      </c>
      <c r="H80">
        <f t="shared" si="8"/>
        <v>0</v>
      </c>
      <c r="I80">
        <f t="shared" si="9"/>
        <v>0</v>
      </c>
      <c r="J80">
        <f t="shared" si="10"/>
        <v>0</v>
      </c>
      <c r="K80">
        <f t="shared" si="11"/>
        <v>1</v>
      </c>
    </row>
    <row r="81" spans="1:11">
      <c r="A81" s="4"/>
      <c r="B81" s="4">
        <v>44729.8229166667</v>
      </c>
      <c r="C81">
        <v>0</v>
      </c>
      <c r="D81">
        <v>0</v>
      </c>
      <c r="H81">
        <f t="shared" si="8"/>
        <v>0</v>
      </c>
      <c r="I81">
        <f t="shared" si="9"/>
        <v>0</v>
      </c>
      <c r="J81">
        <f t="shared" si="10"/>
        <v>0</v>
      </c>
      <c r="K81">
        <f t="shared" si="11"/>
        <v>1</v>
      </c>
    </row>
    <row r="82" spans="1:11">
      <c r="A82" s="4"/>
      <c r="B82" s="4">
        <v>44729.8333333333</v>
      </c>
      <c r="C82">
        <v>0</v>
      </c>
      <c r="D82">
        <v>0</v>
      </c>
      <c r="H82">
        <f t="shared" si="8"/>
        <v>0</v>
      </c>
      <c r="I82">
        <f t="shared" si="9"/>
        <v>0</v>
      </c>
      <c r="J82">
        <f t="shared" si="10"/>
        <v>0</v>
      </c>
      <c r="K82">
        <f t="shared" si="11"/>
        <v>1</v>
      </c>
    </row>
    <row r="83" spans="1:11">
      <c r="A83" s="4"/>
      <c r="B83" s="4">
        <v>44729.84375</v>
      </c>
      <c r="C83">
        <v>0</v>
      </c>
      <c r="D83">
        <v>0</v>
      </c>
      <c r="H83">
        <f t="shared" si="8"/>
        <v>0</v>
      </c>
      <c r="I83">
        <f t="shared" si="9"/>
        <v>0</v>
      </c>
      <c r="J83">
        <f t="shared" si="10"/>
        <v>0</v>
      </c>
      <c r="K83">
        <f t="shared" si="11"/>
        <v>1</v>
      </c>
    </row>
    <row r="84" spans="1:11">
      <c r="A84" s="4"/>
      <c r="B84" s="4">
        <v>44729.8541666667</v>
      </c>
      <c r="C84">
        <v>0</v>
      </c>
      <c r="D84">
        <v>0</v>
      </c>
      <c r="H84">
        <f t="shared" si="8"/>
        <v>0</v>
      </c>
      <c r="I84">
        <f t="shared" si="9"/>
        <v>0</v>
      </c>
      <c r="J84">
        <f t="shared" si="10"/>
        <v>0</v>
      </c>
      <c r="K84">
        <f t="shared" si="11"/>
        <v>1</v>
      </c>
    </row>
    <row r="85" spans="1:11">
      <c r="A85" s="4"/>
      <c r="B85" s="4">
        <v>44729.8645833333</v>
      </c>
      <c r="C85">
        <v>0</v>
      </c>
      <c r="D85">
        <v>0</v>
      </c>
      <c r="H85">
        <f t="shared" si="8"/>
        <v>0</v>
      </c>
      <c r="I85">
        <f t="shared" si="9"/>
        <v>0</v>
      </c>
      <c r="J85">
        <f t="shared" si="10"/>
        <v>0</v>
      </c>
      <c r="K85">
        <f t="shared" si="11"/>
        <v>1</v>
      </c>
    </row>
    <row r="86" spans="1:11">
      <c r="A86" s="4"/>
      <c r="B86" s="4">
        <v>44729.875</v>
      </c>
      <c r="C86">
        <v>0</v>
      </c>
      <c r="D86">
        <v>0</v>
      </c>
      <c r="H86">
        <f t="shared" si="8"/>
        <v>0</v>
      </c>
      <c r="I86">
        <f t="shared" si="9"/>
        <v>0</v>
      </c>
      <c r="J86">
        <f t="shared" si="10"/>
        <v>0</v>
      </c>
      <c r="K86">
        <f t="shared" si="11"/>
        <v>1</v>
      </c>
    </row>
    <row r="87" spans="1:11">
      <c r="A87" s="4"/>
      <c r="B87" s="4">
        <v>44729.8854166667</v>
      </c>
      <c r="C87">
        <v>0</v>
      </c>
      <c r="D87">
        <v>0</v>
      </c>
      <c r="H87">
        <f t="shared" si="8"/>
        <v>0</v>
      </c>
      <c r="I87">
        <f t="shared" si="9"/>
        <v>0</v>
      </c>
      <c r="J87">
        <f t="shared" si="10"/>
        <v>0</v>
      </c>
      <c r="K87">
        <f t="shared" si="11"/>
        <v>1</v>
      </c>
    </row>
    <row r="88" spans="1:11">
      <c r="A88" s="4"/>
      <c r="B88" s="4">
        <v>44729.8958333333</v>
      </c>
      <c r="C88">
        <v>0</v>
      </c>
      <c r="D88">
        <v>0</v>
      </c>
      <c r="H88">
        <f t="shared" si="8"/>
        <v>0</v>
      </c>
      <c r="I88">
        <f t="shared" si="9"/>
        <v>0</v>
      </c>
      <c r="J88">
        <f t="shared" si="10"/>
        <v>0</v>
      </c>
      <c r="K88">
        <f t="shared" si="11"/>
        <v>1</v>
      </c>
    </row>
    <row r="89" spans="1:11">
      <c r="A89" s="4"/>
      <c r="B89" s="4">
        <v>44729.90625</v>
      </c>
      <c r="C89">
        <v>0</v>
      </c>
      <c r="D89">
        <v>0</v>
      </c>
      <c r="H89">
        <f t="shared" si="8"/>
        <v>0</v>
      </c>
      <c r="I89">
        <f t="shared" si="9"/>
        <v>0</v>
      </c>
      <c r="J89">
        <f t="shared" si="10"/>
        <v>0</v>
      </c>
      <c r="K89">
        <f t="shared" si="11"/>
        <v>1</v>
      </c>
    </row>
    <row r="90" spans="1:11">
      <c r="A90" s="4"/>
      <c r="B90" s="4">
        <v>44729.9166666667</v>
      </c>
      <c r="C90">
        <v>0</v>
      </c>
      <c r="D90">
        <v>0</v>
      </c>
      <c r="H90">
        <f t="shared" si="8"/>
        <v>0</v>
      </c>
      <c r="I90">
        <f t="shared" si="9"/>
        <v>0</v>
      </c>
      <c r="J90">
        <f t="shared" si="10"/>
        <v>0</v>
      </c>
      <c r="K90">
        <f t="shared" si="11"/>
        <v>1</v>
      </c>
    </row>
    <row r="91" spans="1:11">
      <c r="A91" s="4"/>
      <c r="B91" s="4">
        <v>44729.9270833333</v>
      </c>
      <c r="C91">
        <v>0</v>
      </c>
      <c r="D91">
        <v>0</v>
      </c>
      <c r="H91">
        <f t="shared" si="8"/>
        <v>0</v>
      </c>
      <c r="I91">
        <f t="shared" si="9"/>
        <v>0</v>
      </c>
      <c r="J91">
        <f t="shared" si="10"/>
        <v>0</v>
      </c>
      <c r="K91">
        <f t="shared" si="11"/>
        <v>1</v>
      </c>
    </row>
    <row r="92" spans="1:11">
      <c r="A92" s="4"/>
      <c r="B92" s="4">
        <v>44729.9375</v>
      </c>
      <c r="C92">
        <v>0</v>
      </c>
      <c r="D92">
        <v>0</v>
      </c>
      <c r="H92">
        <f t="shared" si="8"/>
        <v>0</v>
      </c>
      <c r="I92">
        <f t="shared" si="9"/>
        <v>0</v>
      </c>
      <c r="J92">
        <f t="shared" si="10"/>
        <v>0</v>
      </c>
      <c r="K92">
        <f t="shared" si="11"/>
        <v>1</v>
      </c>
    </row>
    <row r="93" spans="1:11">
      <c r="A93" s="4"/>
      <c r="B93" s="4">
        <v>44729.9479166667</v>
      </c>
      <c r="C93">
        <v>0</v>
      </c>
      <c r="D93">
        <v>0</v>
      </c>
      <c r="H93">
        <f t="shared" si="8"/>
        <v>0</v>
      </c>
      <c r="I93">
        <f t="shared" si="9"/>
        <v>0</v>
      </c>
      <c r="J93">
        <f t="shared" si="10"/>
        <v>0</v>
      </c>
      <c r="K93">
        <f t="shared" si="11"/>
        <v>1</v>
      </c>
    </row>
    <row r="94" spans="1:11">
      <c r="A94" s="4"/>
      <c r="B94" s="4">
        <v>44729.9583333333</v>
      </c>
      <c r="C94">
        <v>0</v>
      </c>
      <c r="D94">
        <v>0</v>
      </c>
      <c r="H94">
        <f t="shared" si="8"/>
        <v>0</v>
      </c>
      <c r="I94">
        <f t="shared" si="9"/>
        <v>0</v>
      </c>
      <c r="J94">
        <f t="shared" si="10"/>
        <v>0</v>
      </c>
      <c r="K94">
        <f t="shared" si="11"/>
        <v>1</v>
      </c>
    </row>
    <row r="95" spans="1:11">
      <c r="A95" s="4"/>
      <c r="B95" s="4">
        <v>44729.96875</v>
      </c>
      <c r="C95">
        <v>0</v>
      </c>
      <c r="D95">
        <v>0</v>
      </c>
      <c r="H95">
        <f t="shared" si="8"/>
        <v>0</v>
      </c>
      <c r="I95">
        <f t="shared" si="9"/>
        <v>0</v>
      </c>
      <c r="J95">
        <f t="shared" si="10"/>
        <v>0</v>
      </c>
      <c r="K95">
        <f t="shared" si="11"/>
        <v>1</v>
      </c>
    </row>
    <row r="96" spans="1:11">
      <c r="A96" s="4"/>
      <c r="B96" s="4">
        <v>44729.9791666667</v>
      </c>
      <c r="C96">
        <v>0</v>
      </c>
      <c r="D96">
        <v>0</v>
      </c>
      <c r="H96">
        <f t="shared" si="8"/>
        <v>0</v>
      </c>
      <c r="I96">
        <f t="shared" si="9"/>
        <v>0</v>
      </c>
      <c r="J96">
        <f t="shared" si="10"/>
        <v>0</v>
      </c>
      <c r="K96">
        <f t="shared" si="11"/>
        <v>1</v>
      </c>
    </row>
    <row r="97" spans="1:11">
      <c r="A97" s="4"/>
      <c r="B97" s="4">
        <v>44729.9895833333</v>
      </c>
      <c r="C97">
        <v>0</v>
      </c>
      <c r="D97">
        <v>0</v>
      </c>
      <c r="H97">
        <f t="shared" si="8"/>
        <v>0</v>
      </c>
      <c r="I97">
        <f t="shared" si="9"/>
        <v>0</v>
      </c>
      <c r="J97">
        <f t="shared" si="10"/>
        <v>0</v>
      </c>
      <c r="K97">
        <f t="shared" si="11"/>
        <v>1</v>
      </c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7"/>
  <sheetViews>
    <sheetView tabSelected="1" workbookViewId="0">
      <selection activeCell="L4" sqref="L4"/>
    </sheetView>
  </sheetViews>
  <sheetFormatPr defaultColWidth="9" defaultRowHeight="13.5"/>
  <cols>
    <col min="1" max="1" width="17.125" customWidth="1"/>
    <col min="2" max="2" width="13.625" customWidth="1"/>
    <col min="3" max="3" width="11.375" customWidth="1"/>
    <col min="5" max="5" width="14.375" customWidth="1"/>
    <col min="6" max="7" width="11.5" customWidth="1"/>
    <col min="8" max="10" width="9" customWidth="1"/>
    <col min="11" max="11" width="12.625"/>
  </cols>
  <sheetData>
    <row r="1" spans="2:12">
      <c r="B1" s="7" t="s">
        <v>21</v>
      </c>
      <c r="C1" s="7" t="s">
        <v>22</v>
      </c>
      <c r="D1" s="7" t="s">
        <v>38</v>
      </c>
      <c r="E1" s="8" t="s">
        <v>39</v>
      </c>
      <c r="F1" s="8"/>
      <c r="G1" s="8"/>
      <c r="H1" s="8"/>
      <c r="K1" s="5" t="s">
        <v>40</v>
      </c>
      <c r="L1" t="s">
        <v>12</v>
      </c>
    </row>
    <row r="2" spans="1:12">
      <c r="A2" s="4">
        <v>44361</v>
      </c>
      <c r="B2">
        <v>0</v>
      </c>
      <c r="C2">
        <v>0</v>
      </c>
      <c r="D2">
        <v>100</v>
      </c>
      <c r="E2">
        <f>ABS(B2-C2)</f>
        <v>0</v>
      </c>
      <c r="F2">
        <f>E2/$D$2</f>
        <v>0</v>
      </c>
      <c r="G2">
        <f>(1-F2)</f>
        <v>1</v>
      </c>
      <c r="H2">
        <f>IF(G2&gt;=0.8,1,0)</f>
        <v>1</v>
      </c>
      <c r="I2">
        <f>COUNTIF(H:H,1)</f>
        <v>96</v>
      </c>
      <c r="J2">
        <f>COUNT(B:B)</f>
        <v>96</v>
      </c>
      <c r="K2" s="6">
        <f>I2/$J$2</f>
        <v>1</v>
      </c>
      <c r="L2">
        <v>1</v>
      </c>
    </row>
    <row r="3" spans="1:8">
      <c r="A3" s="4">
        <v>44361.0104166667</v>
      </c>
      <c r="B3">
        <v>0</v>
      </c>
      <c r="C3">
        <v>0</v>
      </c>
      <c r="E3">
        <f t="shared" ref="E3:E56" si="0">ABS(B3-C3)</f>
        <v>0</v>
      </c>
      <c r="F3">
        <f t="shared" ref="F3:F56" si="1">E3/$D$2</f>
        <v>0</v>
      </c>
      <c r="G3">
        <f t="shared" ref="G3:G56" si="2">(1-F3)</f>
        <v>1</v>
      </c>
      <c r="H3">
        <f t="shared" ref="H3:H56" si="3">IF(G3&gt;=0.8,1,0)</f>
        <v>1</v>
      </c>
    </row>
    <row r="4" spans="1:8">
      <c r="A4" s="4">
        <v>44361.0208333333</v>
      </c>
      <c r="B4">
        <v>0</v>
      </c>
      <c r="C4">
        <v>0</v>
      </c>
      <c r="E4">
        <f t="shared" si="0"/>
        <v>0</v>
      </c>
      <c r="F4">
        <f t="shared" si="1"/>
        <v>0</v>
      </c>
      <c r="G4">
        <f t="shared" si="2"/>
        <v>1</v>
      </c>
      <c r="H4">
        <f t="shared" si="3"/>
        <v>1</v>
      </c>
    </row>
    <row r="5" spans="1:8">
      <c r="A5" s="4">
        <v>44361.03125</v>
      </c>
      <c r="B5">
        <v>0</v>
      </c>
      <c r="C5">
        <v>0</v>
      </c>
      <c r="E5">
        <f t="shared" si="0"/>
        <v>0</v>
      </c>
      <c r="F5">
        <f t="shared" si="1"/>
        <v>0</v>
      </c>
      <c r="G5">
        <f t="shared" si="2"/>
        <v>1</v>
      </c>
      <c r="H5">
        <f t="shared" si="3"/>
        <v>1</v>
      </c>
    </row>
    <row r="6" spans="1:8">
      <c r="A6" s="4">
        <v>44361.0416666667</v>
      </c>
      <c r="B6">
        <v>0</v>
      </c>
      <c r="C6">
        <v>0</v>
      </c>
      <c r="E6">
        <f t="shared" si="0"/>
        <v>0</v>
      </c>
      <c r="F6">
        <f t="shared" si="1"/>
        <v>0</v>
      </c>
      <c r="G6">
        <f t="shared" si="2"/>
        <v>1</v>
      </c>
      <c r="H6">
        <f t="shared" si="3"/>
        <v>1</v>
      </c>
    </row>
    <row r="7" spans="1:8">
      <c r="A7" s="4">
        <v>44361.0520833333</v>
      </c>
      <c r="B7">
        <v>0</v>
      </c>
      <c r="C7">
        <v>0</v>
      </c>
      <c r="E7">
        <f t="shared" si="0"/>
        <v>0</v>
      </c>
      <c r="F7">
        <f t="shared" si="1"/>
        <v>0</v>
      </c>
      <c r="G7">
        <f t="shared" si="2"/>
        <v>1</v>
      </c>
      <c r="H7">
        <f t="shared" si="3"/>
        <v>1</v>
      </c>
    </row>
    <row r="8" spans="1:8">
      <c r="A8" s="4">
        <v>44361.0625</v>
      </c>
      <c r="B8">
        <v>0</v>
      </c>
      <c r="C8">
        <v>0</v>
      </c>
      <c r="E8">
        <f t="shared" si="0"/>
        <v>0</v>
      </c>
      <c r="F8">
        <f t="shared" si="1"/>
        <v>0</v>
      </c>
      <c r="G8">
        <f t="shared" si="2"/>
        <v>1</v>
      </c>
      <c r="H8">
        <f t="shared" si="3"/>
        <v>1</v>
      </c>
    </row>
    <row r="9" spans="1:8">
      <c r="A9" s="4">
        <v>44361.0729166667</v>
      </c>
      <c r="B9">
        <v>0</v>
      </c>
      <c r="C9">
        <v>0</v>
      </c>
      <c r="E9">
        <f t="shared" si="0"/>
        <v>0</v>
      </c>
      <c r="F9">
        <f t="shared" si="1"/>
        <v>0</v>
      </c>
      <c r="G9">
        <f t="shared" si="2"/>
        <v>1</v>
      </c>
      <c r="H9">
        <f t="shared" si="3"/>
        <v>1</v>
      </c>
    </row>
    <row r="10" spans="1:8">
      <c r="A10" s="4">
        <v>44361.0833333333</v>
      </c>
      <c r="B10">
        <v>0</v>
      </c>
      <c r="C10">
        <v>0</v>
      </c>
      <c r="E10">
        <f t="shared" si="0"/>
        <v>0</v>
      </c>
      <c r="F10">
        <f t="shared" si="1"/>
        <v>0</v>
      </c>
      <c r="G10">
        <f t="shared" si="2"/>
        <v>1</v>
      </c>
      <c r="H10">
        <f t="shared" si="3"/>
        <v>1</v>
      </c>
    </row>
    <row r="11" spans="1:8">
      <c r="A11" s="4">
        <v>44361.09375</v>
      </c>
      <c r="B11">
        <v>0</v>
      </c>
      <c r="C11">
        <v>0</v>
      </c>
      <c r="E11">
        <f t="shared" si="0"/>
        <v>0</v>
      </c>
      <c r="F11">
        <f t="shared" si="1"/>
        <v>0</v>
      </c>
      <c r="G11">
        <f t="shared" si="2"/>
        <v>1</v>
      </c>
      <c r="H11">
        <f t="shared" si="3"/>
        <v>1</v>
      </c>
    </row>
    <row r="12" spans="1:8">
      <c r="A12" s="4">
        <v>44361.1041666667</v>
      </c>
      <c r="B12">
        <v>0</v>
      </c>
      <c r="C12">
        <v>0</v>
      </c>
      <c r="E12">
        <f t="shared" si="0"/>
        <v>0</v>
      </c>
      <c r="F12">
        <f t="shared" si="1"/>
        <v>0</v>
      </c>
      <c r="G12">
        <f t="shared" si="2"/>
        <v>1</v>
      </c>
      <c r="H12">
        <f t="shared" si="3"/>
        <v>1</v>
      </c>
    </row>
    <row r="13" spans="1:8">
      <c r="A13" s="4">
        <v>44361.1145833333</v>
      </c>
      <c r="B13">
        <v>0</v>
      </c>
      <c r="C13">
        <v>0</v>
      </c>
      <c r="E13">
        <f t="shared" si="0"/>
        <v>0</v>
      </c>
      <c r="F13">
        <f t="shared" si="1"/>
        <v>0</v>
      </c>
      <c r="G13">
        <f t="shared" si="2"/>
        <v>1</v>
      </c>
      <c r="H13">
        <f t="shared" si="3"/>
        <v>1</v>
      </c>
    </row>
    <row r="14" spans="1:8">
      <c r="A14" s="4">
        <v>44361.125</v>
      </c>
      <c r="B14">
        <v>0</v>
      </c>
      <c r="C14">
        <v>0</v>
      </c>
      <c r="E14">
        <f t="shared" si="0"/>
        <v>0</v>
      </c>
      <c r="F14">
        <f t="shared" si="1"/>
        <v>0</v>
      </c>
      <c r="G14">
        <f t="shared" si="2"/>
        <v>1</v>
      </c>
      <c r="H14">
        <f t="shared" si="3"/>
        <v>1</v>
      </c>
    </row>
    <row r="15" spans="1:8">
      <c r="A15" s="4">
        <v>44361.1354166667</v>
      </c>
      <c r="B15">
        <v>0</v>
      </c>
      <c r="C15">
        <v>0</v>
      </c>
      <c r="E15">
        <f t="shared" si="0"/>
        <v>0</v>
      </c>
      <c r="F15">
        <f t="shared" si="1"/>
        <v>0</v>
      </c>
      <c r="G15">
        <f t="shared" si="2"/>
        <v>1</v>
      </c>
      <c r="H15">
        <f t="shared" si="3"/>
        <v>1</v>
      </c>
    </row>
    <row r="16" spans="1:8">
      <c r="A16" s="4">
        <v>44361.1458333333</v>
      </c>
      <c r="B16">
        <v>0</v>
      </c>
      <c r="C16">
        <v>0</v>
      </c>
      <c r="E16">
        <f t="shared" si="0"/>
        <v>0</v>
      </c>
      <c r="F16">
        <f t="shared" si="1"/>
        <v>0</v>
      </c>
      <c r="G16">
        <f t="shared" si="2"/>
        <v>1</v>
      </c>
      <c r="H16">
        <f t="shared" si="3"/>
        <v>1</v>
      </c>
    </row>
    <row r="17" spans="1:8">
      <c r="A17" s="4">
        <v>44361.15625</v>
      </c>
      <c r="B17">
        <v>0</v>
      </c>
      <c r="C17">
        <v>0</v>
      </c>
      <c r="E17">
        <f t="shared" si="0"/>
        <v>0</v>
      </c>
      <c r="F17">
        <f t="shared" si="1"/>
        <v>0</v>
      </c>
      <c r="G17">
        <f t="shared" si="2"/>
        <v>1</v>
      </c>
      <c r="H17">
        <f t="shared" si="3"/>
        <v>1</v>
      </c>
    </row>
    <row r="18" spans="1:8">
      <c r="A18" s="4">
        <v>44361.1666666667</v>
      </c>
      <c r="B18">
        <v>0</v>
      </c>
      <c r="C18">
        <v>0</v>
      </c>
      <c r="E18">
        <f t="shared" si="0"/>
        <v>0</v>
      </c>
      <c r="F18">
        <f t="shared" si="1"/>
        <v>0</v>
      </c>
      <c r="G18">
        <f t="shared" si="2"/>
        <v>1</v>
      </c>
      <c r="H18">
        <f t="shared" si="3"/>
        <v>1</v>
      </c>
    </row>
    <row r="19" spans="1:8">
      <c r="A19" s="4">
        <v>44361.1770833333</v>
      </c>
      <c r="B19">
        <v>0</v>
      </c>
      <c r="C19">
        <v>0</v>
      </c>
      <c r="E19">
        <f t="shared" si="0"/>
        <v>0</v>
      </c>
      <c r="F19">
        <f t="shared" si="1"/>
        <v>0</v>
      </c>
      <c r="G19">
        <f t="shared" si="2"/>
        <v>1</v>
      </c>
      <c r="H19">
        <f t="shared" si="3"/>
        <v>1</v>
      </c>
    </row>
    <row r="20" spans="1:8">
      <c r="A20" s="4">
        <v>44361.1875</v>
      </c>
      <c r="B20">
        <v>0</v>
      </c>
      <c r="C20">
        <v>0</v>
      </c>
      <c r="E20">
        <f t="shared" si="0"/>
        <v>0</v>
      </c>
      <c r="F20">
        <f t="shared" si="1"/>
        <v>0</v>
      </c>
      <c r="G20">
        <f t="shared" si="2"/>
        <v>1</v>
      </c>
      <c r="H20">
        <f t="shared" si="3"/>
        <v>1</v>
      </c>
    </row>
    <row r="21" spans="1:8">
      <c r="A21" s="4">
        <v>44361.1979166667</v>
      </c>
      <c r="B21">
        <v>0</v>
      </c>
      <c r="C21">
        <v>0</v>
      </c>
      <c r="E21">
        <f t="shared" si="0"/>
        <v>0</v>
      </c>
      <c r="F21">
        <f t="shared" si="1"/>
        <v>0</v>
      </c>
      <c r="G21">
        <f t="shared" si="2"/>
        <v>1</v>
      </c>
      <c r="H21">
        <f t="shared" si="3"/>
        <v>1</v>
      </c>
    </row>
    <row r="22" spans="1:8">
      <c r="A22" s="4">
        <v>44361.2083333333</v>
      </c>
      <c r="B22">
        <v>0</v>
      </c>
      <c r="C22">
        <v>0</v>
      </c>
      <c r="E22">
        <f t="shared" si="0"/>
        <v>0</v>
      </c>
      <c r="F22">
        <f t="shared" si="1"/>
        <v>0</v>
      </c>
      <c r="G22">
        <f t="shared" si="2"/>
        <v>1</v>
      </c>
      <c r="H22">
        <f t="shared" si="3"/>
        <v>1</v>
      </c>
    </row>
    <row r="23" spans="1:8">
      <c r="A23" s="4">
        <v>44361.21875</v>
      </c>
      <c r="B23">
        <v>0</v>
      </c>
      <c r="C23">
        <v>0</v>
      </c>
      <c r="E23">
        <f t="shared" si="0"/>
        <v>0</v>
      </c>
      <c r="F23">
        <f t="shared" si="1"/>
        <v>0</v>
      </c>
      <c r="G23">
        <f t="shared" si="2"/>
        <v>1</v>
      </c>
      <c r="H23">
        <f t="shared" si="3"/>
        <v>1</v>
      </c>
    </row>
    <row r="24" spans="1:8">
      <c r="A24" s="4">
        <v>44361.2291666667</v>
      </c>
      <c r="B24">
        <v>0</v>
      </c>
      <c r="C24">
        <v>0</v>
      </c>
      <c r="E24">
        <f t="shared" si="0"/>
        <v>0</v>
      </c>
      <c r="F24">
        <f t="shared" si="1"/>
        <v>0</v>
      </c>
      <c r="G24">
        <f t="shared" si="2"/>
        <v>1</v>
      </c>
      <c r="H24">
        <f t="shared" si="3"/>
        <v>1</v>
      </c>
    </row>
    <row r="25" spans="1:8">
      <c r="A25" s="4">
        <v>44361.2395833333</v>
      </c>
      <c r="B25">
        <v>0</v>
      </c>
      <c r="C25">
        <v>0</v>
      </c>
      <c r="E25">
        <f t="shared" si="0"/>
        <v>0</v>
      </c>
      <c r="F25">
        <f t="shared" si="1"/>
        <v>0</v>
      </c>
      <c r="G25">
        <f t="shared" si="2"/>
        <v>1</v>
      </c>
      <c r="H25">
        <f t="shared" si="3"/>
        <v>1</v>
      </c>
    </row>
    <row r="26" spans="1:8">
      <c r="A26" s="4">
        <v>44361.25</v>
      </c>
      <c r="B26">
        <v>0</v>
      </c>
      <c r="C26">
        <v>0</v>
      </c>
      <c r="E26">
        <f t="shared" si="0"/>
        <v>0</v>
      </c>
      <c r="F26">
        <f t="shared" si="1"/>
        <v>0</v>
      </c>
      <c r="G26">
        <f t="shared" si="2"/>
        <v>1</v>
      </c>
      <c r="H26">
        <f t="shared" si="3"/>
        <v>1</v>
      </c>
    </row>
    <row r="27" spans="1:8">
      <c r="A27" s="4">
        <v>44361.2604166667</v>
      </c>
      <c r="B27">
        <v>0</v>
      </c>
      <c r="C27">
        <v>0</v>
      </c>
      <c r="E27">
        <f t="shared" si="0"/>
        <v>0</v>
      </c>
      <c r="F27">
        <f t="shared" si="1"/>
        <v>0</v>
      </c>
      <c r="G27">
        <f t="shared" si="2"/>
        <v>1</v>
      </c>
      <c r="H27">
        <f t="shared" si="3"/>
        <v>1</v>
      </c>
    </row>
    <row r="28" spans="1:8">
      <c r="A28" s="4">
        <v>44361.2708333333</v>
      </c>
      <c r="B28">
        <v>0</v>
      </c>
      <c r="C28">
        <v>0</v>
      </c>
      <c r="E28">
        <f t="shared" si="0"/>
        <v>0</v>
      </c>
      <c r="F28">
        <f t="shared" si="1"/>
        <v>0</v>
      </c>
      <c r="G28">
        <f t="shared" si="2"/>
        <v>1</v>
      </c>
      <c r="H28">
        <f t="shared" si="3"/>
        <v>1</v>
      </c>
    </row>
    <row r="29" spans="1:8">
      <c r="A29" s="4">
        <v>44361.28125</v>
      </c>
      <c r="B29">
        <v>0</v>
      </c>
      <c r="C29">
        <v>0</v>
      </c>
      <c r="E29">
        <f t="shared" si="0"/>
        <v>0</v>
      </c>
      <c r="F29">
        <f t="shared" si="1"/>
        <v>0</v>
      </c>
      <c r="G29">
        <f t="shared" si="2"/>
        <v>1</v>
      </c>
      <c r="H29">
        <f t="shared" si="3"/>
        <v>1</v>
      </c>
    </row>
    <row r="30" spans="1:8">
      <c r="A30" s="4">
        <v>44361.2916666667</v>
      </c>
      <c r="B30">
        <v>0</v>
      </c>
      <c r="C30">
        <v>0</v>
      </c>
      <c r="E30">
        <f t="shared" si="0"/>
        <v>0</v>
      </c>
      <c r="F30">
        <f t="shared" si="1"/>
        <v>0</v>
      </c>
      <c r="G30">
        <f t="shared" si="2"/>
        <v>1</v>
      </c>
      <c r="H30">
        <f t="shared" si="3"/>
        <v>1</v>
      </c>
    </row>
    <row r="31" spans="1:8">
      <c r="A31" s="4">
        <v>44361.3020833333</v>
      </c>
      <c r="B31">
        <v>0</v>
      </c>
      <c r="C31">
        <v>1.051575</v>
      </c>
      <c r="E31">
        <f t="shared" si="0"/>
        <v>1.051575</v>
      </c>
      <c r="F31">
        <f t="shared" si="1"/>
        <v>0.01051575</v>
      </c>
      <c r="G31">
        <f t="shared" si="2"/>
        <v>0.98948425</v>
      </c>
      <c r="H31">
        <f t="shared" si="3"/>
        <v>1</v>
      </c>
    </row>
    <row r="32" spans="1:8">
      <c r="A32" s="4">
        <v>44361.3125</v>
      </c>
      <c r="B32">
        <v>1.012162</v>
      </c>
      <c r="C32">
        <v>1.548981</v>
      </c>
      <c r="E32">
        <f t="shared" si="0"/>
        <v>0.536819</v>
      </c>
      <c r="F32">
        <f t="shared" si="1"/>
        <v>0.00536819</v>
      </c>
      <c r="G32">
        <f t="shared" si="2"/>
        <v>0.99463181</v>
      </c>
      <c r="H32">
        <f t="shared" si="3"/>
        <v>1</v>
      </c>
    </row>
    <row r="33" spans="1:8">
      <c r="A33" s="4">
        <v>44361.3229166667</v>
      </c>
      <c r="B33">
        <v>1.520407</v>
      </c>
      <c r="C33">
        <v>2.252276</v>
      </c>
      <c r="E33">
        <f t="shared" si="0"/>
        <v>0.731869</v>
      </c>
      <c r="F33">
        <f t="shared" si="1"/>
        <v>0.00731869</v>
      </c>
      <c r="G33">
        <f t="shared" si="2"/>
        <v>0.99268131</v>
      </c>
      <c r="H33">
        <f t="shared" si="3"/>
        <v>1</v>
      </c>
    </row>
    <row r="34" spans="1:8">
      <c r="A34" s="4">
        <v>44361.3333333333</v>
      </c>
      <c r="B34">
        <v>2.147789</v>
      </c>
      <c r="C34">
        <v>3.122015</v>
      </c>
      <c r="E34">
        <f t="shared" si="0"/>
        <v>0.974226</v>
      </c>
      <c r="F34">
        <f t="shared" si="1"/>
        <v>0.00974226</v>
      </c>
      <c r="G34">
        <f t="shared" si="2"/>
        <v>0.99025774</v>
      </c>
      <c r="H34">
        <f t="shared" si="3"/>
        <v>1</v>
      </c>
    </row>
    <row r="35" spans="1:8">
      <c r="A35" s="4">
        <v>44361.34375</v>
      </c>
      <c r="B35">
        <v>3.027694</v>
      </c>
      <c r="C35">
        <v>4.116826</v>
      </c>
      <c r="E35">
        <f t="shared" si="0"/>
        <v>1.089132</v>
      </c>
      <c r="F35">
        <f t="shared" si="1"/>
        <v>0.01089132</v>
      </c>
      <c r="G35">
        <f t="shared" si="2"/>
        <v>0.98910868</v>
      </c>
      <c r="H35">
        <f t="shared" si="3"/>
        <v>1</v>
      </c>
    </row>
    <row r="36" spans="1:8">
      <c r="A36" s="4">
        <v>44361.3541666667</v>
      </c>
      <c r="B36">
        <v>4.167875</v>
      </c>
      <c r="C36">
        <v>5.197264</v>
      </c>
      <c r="E36">
        <f t="shared" si="0"/>
        <v>1.029389</v>
      </c>
      <c r="F36">
        <f t="shared" si="1"/>
        <v>0.01029389</v>
      </c>
      <c r="G36">
        <f t="shared" si="2"/>
        <v>0.98970611</v>
      </c>
      <c r="H36">
        <f t="shared" si="3"/>
        <v>1</v>
      </c>
    </row>
    <row r="37" spans="1:8">
      <c r="A37" s="4">
        <v>44361.3645833333</v>
      </c>
      <c r="B37">
        <v>5.303651</v>
      </c>
      <c r="C37">
        <v>6.32292</v>
      </c>
      <c r="E37">
        <f t="shared" si="0"/>
        <v>1.019269</v>
      </c>
      <c r="F37">
        <f t="shared" si="1"/>
        <v>0.01019269</v>
      </c>
      <c r="G37">
        <f t="shared" si="2"/>
        <v>0.98980731</v>
      </c>
      <c r="H37">
        <f t="shared" si="3"/>
        <v>1</v>
      </c>
    </row>
    <row r="38" spans="1:8">
      <c r="A38" s="4">
        <v>44361.375</v>
      </c>
      <c r="B38">
        <v>6.382785</v>
      </c>
      <c r="C38">
        <v>7.453389</v>
      </c>
      <c r="E38">
        <f t="shared" si="0"/>
        <v>1.070604</v>
      </c>
      <c r="F38">
        <f t="shared" si="1"/>
        <v>0.01070604</v>
      </c>
      <c r="G38">
        <f t="shared" si="2"/>
        <v>0.98929396</v>
      </c>
      <c r="H38">
        <f t="shared" si="3"/>
        <v>1</v>
      </c>
    </row>
    <row r="39" spans="1:8">
      <c r="A39" s="4">
        <v>44361.3854166667</v>
      </c>
      <c r="B39">
        <v>7.328796</v>
      </c>
      <c r="C39">
        <v>8.548258</v>
      </c>
      <c r="E39">
        <f t="shared" si="0"/>
        <v>1.219462</v>
      </c>
      <c r="F39">
        <f t="shared" si="1"/>
        <v>0.01219462</v>
      </c>
      <c r="G39">
        <f t="shared" si="2"/>
        <v>0.98780538</v>
      </c>
      <c r="H39">
        <f t="shared" si="3"/>
        <v>1</v>
      </c>
    </row>
    <row r="40" spans="1:8">
      <c r="A40" s="4">
        <v>44361.3958333333</v>
      </c>
      <c r="B40">
        <v>8.540904</v>
      </c>
      <c r="C40">
        <v>9.567122</v>
      </c>
      <c r="E40">
        <f t="shared" si="0"/>
        <v>1.026218</v>
      </c>
      <c r="F40">
        <f t="shared" si="1"/>
        <v>0.01026218</v>
      </c>
      <c r="G40">
        <f t="shared" si="2"/>
        <v>0.98973782</v>
      </c>
      <c r="H40">
        <f t="shared" si="3"/>
        <v>1</v>
      </c>
    </row>
    <row r="41" spans="1:8">
      <c r="A41" s="4">
        <v>44361.40625</v>
      </c>
      <c r="B41">
        <v>9.818505</v>
      </c>
      <c r="C41">
        <v>10.492663</v>
      </c>
      <c r="E41">
        <f t="shared" si="0"/>
        <v>0.674158</v>
      </c>
      <c r="F41">
        <f t="shared" si="1"/>
        <v>0.00674158</v>
      </c>
      <c r="G41">
        <f t="shared" si="2"/>
        <v>0.99325842</v>
      </c>
      <c r="H41">
        <f t="shared" si="3"/>
        <v>1</v>
      </c>
    </row>
    <row r="42" spans="1:8">
      <c r="A42" s="4">
        <v>44361.4166666667</v>
      </c>
      <c r="B42">
        <v>11.252011</v>
      </c>
      <c r="C42">
        <v>11.429748</v>
      </c>
      <c r="E42">
        <f t="shared" si="0"/>
        <v>0.177737</v>
      </c>
      <c r="F42">
        <f t="shared" si="1"/>
        <v>0.00177737</v>
      </c>
      <c r="G42">
        <f t="shared" si="2"/>
        <v>0.99822263</v>
      </c>
      <c r="H42">
        <f t="shared" si="3"/>
        <v>1</v>
      </c>
    </row>
    <row r="43" spans="1:8">
      <c r="A43" s="4">
        <v>44361.4270833333</v>
      </c>
      <c r="B43">
        <v>11.19128</v>
      </c>
      <c r="C43">
        <v>12.390886</v>
      </c>
      <c r="E43">
        <f t="shared" si="0"/>
        <v>1.199606</v>
      </c>
      <c r="F43">
        <f t="shared" si="1"/>
        <v>0.01199606</v>
      </c>
      <c r="G43">
        <f t="shared" si="2"/>
        <v>0.98800394</v>
      </c>
      <c r="H43">
        <f t="shared" si="3"/>
        <v>1</v>
      </c>
    </row>
    <row r="44" spans="1:8">
      <c r="A44" s="4">
        <v>44361.4375</v>
      </c>
      <c r="B44">
        <v>13.246506</v>
      </c>
      <c r="C44">
        <v>13.368379</v>
      </c>
      <c r="E44">
        <f t="shared" si="0"/>
        <v>0.121872999999999</v>
      </c>
      <c r="F44">
        <f t="shared" si="1"/>
        <v>0.00121872999999999</v>
      </c>
      <c r="G44">
        <f t="shared" si="2"/>
        <v>0.99878127</v>
      </c>
      <c r="H44">
        <f t="shared" si="3"/>
        <v>1</v>
      </c>
    </row>
    <row r="45" spans="1:8">
      <c r="A45" s="4">
        <v>44361.4479166667</v>
      </c>
      <c r="B45">
        <v>13.168933</v>
      </c>
      <c r="C45">
        <v>14.353571</v>
      </c>
      <c r="E45">
        <f t="shared" si="0"/>
        <v>1.184638</v>
      </c>
      <c r="F45">
        <f t="shared" si="1"/>
        <v>0.01184638</v>
      </c>
      <c r="G45">
        <f t="shared" si="2"/>
        <v>0.98815362</v>
      </c>
      <c r="H45">
        <f t="shared" si="3"/>
        <v>1</v>
      </c>
    </row>
    <row r="46" spans="1:8">
      <c r="A46" s="4">
        <v>44361.4583333333</v>
      </c>
      <c r="B46">
        <v>13.462818</v>
      </c>
      <c r="C46">
        <v>15.336836</v>
      </c>
      <c r="E46">
        <f t="shared" si="0"/>
        <v>1.874018</v>
      </c>
      <c r="F46">
        <f t="shared" si="1"/>
        <v>0.01874018</v>
      </c>
      <c r="G46">
        <f t="shared" si="2"/>
        <v>0.98125982</v>
      </c>
      <c r="H46">
        <f t="shared" si="3"/>
        <v>1</v>
      </c>
    </row>
    <row r="47" spans="1:8">
      <c r="A47" s="4">
        <v>44361.46875</v>
      </c>
      <c r="B47">
        <v>14.702247</v>
      </c>
      <c r="C47">
        <v>16.309519</v>
      </c>
      <c r="E47">
        <f t="shared" si="0"/>
        <v>1.607272</v>
      </c>
      <c r="F47">
        <f t="shared" si="1"/>
        <v>0.01607272</v>
      </c>
      <c r="G47">
        <f t="shared" si="2"/>
        <v>0.98392728</v>
      </c>
      <c r="H47">
        <f t="shared" si="3"/>
        <v>1</v>
      </c>
    </row>
    <row r="48" spans="1:8">
      <c r="A48" s="4">
        <v>44361.4791666667</v>
      </c>
      <c r="B48">
        <v>16.893316</v>
      </c>
      <c r="C48">
        <v>17.264885</v>
      </c>
      <c r="E48">
        <f t="shared" si="0"/>
        <v>0.371569000000001</v>
      </c>
      <c r="F48">
        <f t="shared" si="1"/>
        <v>0.00371569000000001</v>
      </c>
      <c r="G48">
        <f t="shared" si="2"/>
        <v>0.99628431</v>
      </c>
      <c r="H48">
        <f t="shared" si="3"/>
        <v>1</v>
      </c>
    </row>
    <row r="49" spans="1:8">
      <c r="A49" s="4">
        <v>44361.4895833333</v>
      </c>
      <c r="B49">
        <v>16.946383</v>
      </c>
      <c r="C49">
        <v>18.191387</v>
      </c>
      <c r="E49">
        <f t="shared" si="0"/>
        <v>1.245004</v>
      </c>
      <c r="F49">
        <f t="shared" si="1"/>
        <v>0.01245004</v>
      </c>
      <c r="G49">
        <f t="shared" si="2"/>
        <v>0.98754996</v>
      </c>
      <c r="H49">
        <f t="shared" si="3"/>
        <v>1</v>
      </c>
    </row>
    <row r="50" spans="1:8">
      <c r="A50" s="4">
        <v>44361.5</v>
      </c>
      <c r="B50">
        <v>18.358595</v>
      </c>
      <c r="C50">
        <v>19.083254</v>
      </c>
      <c r="E50">
        <f t="shared" si="0"/>
        <v>0.724658999999999</v>
      </c>
      <c r="F50">
        <f t="shared" si="1"/>
        <v>0.00724658999999999</v>
      </c>
      <c r="G50">
        <f t="shared" si="2"/>
        <v>0.99275341</v>
      </c>
      <c r="H50">
        <f t="shared" si="3"/>
        <v>1</v>
      </c>
    </row>
    <row r="51" spans="1:8">
      <c r="A51" s="4">
        <v>44361.5104166667</v>
      </c>
      <c r="B51">
        <v>19.682817</v>
      </c>
      <c r="C51">
        <v>19.929901</v>
      </c>
      <c r="E51">
        <f t="shared" si="0"/>
        <v>0.247084000000001</v>
      </c>
      <c r="F51">
        <f t="shared" si="1"/>
        <v>0.00247084000000001</v>
      </c>
      <c r="G51">
        <f t="shared" si="2"/>
        <v>0.99752916</v>
      </c>
      <c r="H51">
        <f t="shared" si="3"/>
        <v>1</v>
      </c>
    </row>
    <row r="52" spans="1:8">
      <c r="A52" s="4">
        <v>44361.5208333333</v>
      </c>
      <c r="B52">
        <v>19.282236</v>
      </c>
      <c r="C52">
        <v>20.723635</v>
      </c>
      <c r="E52">
        <f t="shared" si="0"/>
        <v>1.441399</v>
      </c>
      <c r="F52">
        <f t="shared" si="1"/>
        <v>0.01441399</v>
      </c>
      <c r="G52">
        <f t="shared" si="2"/>
        <v>0.98558601</v>
      </c>
      <c r="H52">
        <f t="shared" si="3"/>
        <v>1</v>
      </c>
    </row>
    <row r="53" spans="1:8">
      <c r="A53" s="4">
        <v>44361.53125</v>
      </c>
      <c r="B53">
        <v>19.758213</v>
      </c>
      <c r="C53">
        <v>21.454828</v>
      </c>
      <c r="E53">
        <f t="shared" si="0"/>
        <v>1.696615</v>
      </c>
      <c r="F53">
        <f t="shared" si="1"/>
        <v>0.01696615</v>
      </c>
      <c r="G53">
        <f t="shared" si="2"/>
        <v>0.98303385</v>
      </c>
      <c r="H53">
        <f t="shared" si="3"/>
        <v>1</v>
      </c>
    </row>
    <row r="54" spans="1:8">
      <c r="A54" s="4">
        <v>44361.5416666667</v>
      </c>
      <c r="B54">
        <v>21.147829</v>
      </c>
      <c r="C54">
        <v>22.115793</v>
      </c>
      <c r="E54">
        <f t="shared" si="0"/>
        <v>0.967963999999998</v>
      </c>
      <c r="F54">
        <f t="shared" si="1"/>
        <v>0.00967963999999998</v>
      </c>
      <c r="G54">
        <f t="shared" si="2"/>
        <v>0.99032036</v>
      </c>
      <c r="H54">
        <f t="shared" si="3"/>
        <v>1</v>
      </c>
    </row>
    <row r="55" spans="1:8">
      <c r="A55" s="4">
        <v>44361.5520833333</v>
      </c>
      <c r="B55">
        <v>21.678576</v>
      </c>
      <c r="C55">
        <v>22.697865</v>
      </c>
      <c r="E55">
        <f t="shared" si="0"/>
        <v>1.019289</v>
      </c>
      <c r="F55">
        <f t="shared" si="1"/>
        <v>0.01019289</v>
      </c>
      <c r="G55">
        <f t="shared" si="2"/>
        <v>0.98980711</v>
      </c>
      <c r="H55">
        <f t="shared" si="3"/>
        <v>1</v>
      </c>
    </row>
    <row r="56" spans="1:8">
      <c r="A56" s="4">
        <v>44361.5625</v>
      </c>
      <c r="B56">
        <v>23.458244</v>
      </c>
      <c r="C56">
        <v>23.250111</v>
      </c>
      <c r="E56">
        <f t="shared" si="0"/>
        <v>0.208133</v>
      </c>
      <c r="F56">
        <f t="shared" si="1"/>
        <v>0.00208133</v>
      </c>
      <c r="G56">
        <f t="shared" si="2"/>
        <v>0.99791867</v>
      </c>
      <c r="H56">
        <f t="shared" si="3"/>
        <v>1</v>
      </c>
    </row>
    <row r="57" spans="1:8">
      <c r="A57" s="4">
        <v>44361.5729166667</v>
      </c>
      <c r="B57">
        <v>23.059263</v>
      </c>
      <c r="C57">
        <v>23.812937</v>
      </c>
      <c r="E57">
        <f t="shared" ref="E57:E97" si="4">ABS(B57-C57)</f>
        <v>0.753674</v>
      </c>
      <c r="F57">
        <f t="shared" ref="F57:F97" si="5">E57/$D$2</f>
        <v>0.00753674</v>
      </c>
      <c r="G57">
        <f t="shared" ref="G57:G97" si="6">(1-F57)</f>
        <v>0.99246326</v>
      </c>
      <c r="H57">
        <f t="shared" ref="H57:H97" si="7">IF(G57&gt;=0.8,1,0)</f>
        <v>1</v>
      </c>
    </row>
    <row r="58" spans="1:8">
      <c r="A58" s="4">
        <v>44361.5833333333</v>
      </c>
      <c r="B58">
        <v>23.27235</v>
      </c>
      <c r="C58">
        <v>24.366144</v>
      </c>
      <c r="E58">
        <f t="shared" si="4"/>
        <v>1.093794</v>
      </c>
      <c r="F58">
        <f t="shared" si="5"/>
        <v>0.01093794</v>
      </c>
      <c r="G58">
        <f t="shared" si="6"/>
        <v>0.98906206</v>
      </c>
      <c r="H58">
        <f t="shared" si="7"/>
        <v>1</v>
      </c>
    </row>
    <row r="59" spans="1:8">
      <c r="A59" s="4">
        <v>44361.59375</v>
      </c>
      <c r="B59">
        <v>23.251299</v>
      </c>
      <c r="C59">
        <v>24.890491</v>
      </c>
      <c r="E59">
        <f t="shared" si="4"/>
        <v>1.639192</v>
      </c>
      <c r="F59">
        <f t="shared" si="5"/>
        <v>0.01639192</v>
      </c>
      <c r="G59">
        <f t="shared" si="6"/>
        <v>0.98360808</v>
      </c>
      <c r="H59">
        <f t="shared" si="7"/>
        <v>1</v>
      </c>
    </row>
    <row r="60" spans="1:8">
      <c r="A60" s="4">
        <v>44361.6041666667</v>
      </c>
      <c r="B60">
        <v>24.802427</v>
      </c>
      <c r="C60">
        <v>25.364801</v>
      </c>
      <c r="E60">
        <f t="shared" si="4"/>
        <v>0.562373999999998</v>
      </c>
      <c r="F60">
        <f t="shared" si="5"/>
        <v>0.00562373999999998</v>
      </c>
      <c r="G60">
        <f t="shared" si="6"/>
        <v>0.99437626</v>
      </c>
      <c r="H60">
        <f t="shared" si="7"/>
        <v>1</v>
      </c>
    </row>
    <row r="61" spans="1:8">
      <c r="A61" s="4">
        <v>44361.6145833333</v>
      </c>
      <c r="B61">
        <v>24.844379</v>
      </c>
      <c r="C61">
        <v>25.768887</v>
      </c>
      <c r="E61">
        <f t="shared" si="4"/>
        <v>0.924507999999999</v>
      </c>
      <c r="F61">
        <f t="shared" si="5"/>
        <v>0.00924507999999999</v>
      </c>
      <c r="G61">
        <f t="shared" si="6"/>
        <v>0.99075492</v>
      </c>
      <c r="H61">
        <f t="shared" si="7"/>
        <v>1</v>
      </c>
    </row>
    <row r="62" spans="1:8">
      <c r="A62" s="4">
        <v>44361.625</v>
      </c>
      <c r="B62">
        <v>25.573544</v>
      </c>
      <c r="C62">
        <v>26.08349</v>
      </c>
      <c r="E62">
        <f t="shared" si="4"/>
        <v>0.509946000000003</v>
      </c>
      <c r="F62">
        <f t="shared" si="5"/>
        <v>0.00509946000000003</v>
      </c>
      <c r="G62">
        <f t="shared" si="6"/>
        <v>0.99490054</v>
      </c>
      <c r="H62">
        <f t="shared" si="7"/>
        <v>1</v>
      </c>
    </row>
    <row r="63" spans="1:8">
      <c r="A63" s="4">
        <v>44361.6354166667</v>
      </c>
      <c r="B63">
        <v>25.460232</v>
      </c>
      <c r="C63">
        <v>26.286493</v>
      </c>
      <c r="E63">
        <f t="shared" si="4"/>
        <v>0.826260999999999</v>
      </c>
      <c r="F63">
        <f t="shared" si="5"/>
        <v>0.00826260999999999</v>
      </c>
      <c r="G63">
        <f t="shared" si="6"/>
        <v>0.99173739</v>
      </c>
      <c r="H63">
        <f t="shared" si="7"/>
        <v>1</v>
      </c>
    </row>
    <row r="64" spans="1:8">
      <c r="A64" s="4">
        <v>44361.6458333333</v>
      </c>
      <c r="B64">
        <v>25.22831</v>
      </c>
      <c r="C64">
        <v>26.358654</v>
      </c>
      <c r="E64">
        <f t="shared" si="4"/>
        <v>1.130344</v>
      </c>
      <c r="F64">
        <f t="shared" si="5"/>
        <v>0.01130344</v>
      </c>
      <c r="G64">
        <f t="shared" si="6"/>
        <v>0.98869656</v>
      </c>
      <c r="H64">
        <f t="shared" si="7"/>
        <v>1</v>
      </c>
    </row>
    <row r="65" spans="1:8">
      <c r="A65" s="4">
        <v>44361.65625</v>
      </c>
      <c r="B65">
        <v>25.501255</v>
      </c>
      <c r="C65">
        <v>25.991131</v>
      </c>
      <c r="E65">
        <f t="shared" si="4"/>
        <v>0.489875999999999</v>
      </c>
      <c r="F65">
        <f t="shared" si="5"/>
        <v>0.00489875999999999</v>
      </c>
      <c r="G65">
        <f t="shared" si="6"/>
        <v>0.99510124</v>
      </c>
      <c r="H65">
        <f t="shared" si="7"/>
        <v>1</v>
      </c>
    </row>
    <row r="66" spans="1:8">
      <c r="A66" s="4">
        <v>44361.6666666667</v>
      </c>
      <c r="B66">
        <v>25.842052</v>
      </c>
      <c r="C66">
        <v>24.968418</v>
      </c>
      <c r="E66">
        <f t="shared" si="4"/>
        <v>0.873633999999999</v>
      </c>
      <c r="F66">
        <f t="shared" si="5"/>
        <v>0.00873633999999999</v>
      </c>
      <c r="G66">
        <f t="shared" si="6"/>
        <v>0.99126366</v>
      </c>
      <c r="H66">
        <f t="shared" si="7"/>
        <v>1</v>
      </c>
    </row>
    <row r="67" spans="1:8">
      <c r="A67" s="4">
        <v>44361.6770833333</v>
      </c>
      <c r="B67">
        <v>22.696827</v>
      </c>
      <c r="C67">
        <v>23.409817</v>
      </c>
      <c r="E67">
        <f t="shared" si="4"/>
        <v>0.712990000000001</v>
      </c>
      <c r="F67">
        <f t="shared" si="5"/>
        <v>0.00712990000000001</v>
      </c>
      <c r="G67">
        <f t="shared" si="6"/>
        <v>0.9928701</v>
      </c>
      <c r="H67">
        <f t="shared" si="7"/>
        <v>1</v>
      </c>
    </row>
    <row r="68" spans="1:8">
      <c r="A68" s="4">
        <v>44361.6875</v>
      </c>
      <c r="B68">
        <v>23.166964</v>
      </c>
      <c r="C68">
        <v>21.435589</v>
      </c>
      <c r="E68">
        <f t="shared" si="4"/>
        <v>1.731375</v>
      </c>
      <c r="F68">
        <f t="shared" si="5"/>
        <v>0.01731375</v>
      </c>
      <c r="G68">
        <f t="shared" si="6"/>
        <v>0.98268625</v>
      </c>
      <c r="H68">
        <f t="shared" si="7"/>
        <v>1</v>
      </c>
    </row>
    <row r="69" spans="1:8">
      <c r="A69" s="4">
        <v>44361.6979166667</v>
      </c>
      <c r="B69">
        <v>20.968792</v>
      </c>
      <c r="C69">
        <v>19.163109</v>
      </c>
      <c r="E69">
        <f t="shared" si="4"/>
        <v>1.805683</v>
      </c>
      <c r="F69">
        <f t="shared" si="5"/>
        <v>0.01805683</v>
      </c>
      <c r="G69">
        <f t="shared" si="6"/>
        <v>0.98194317</v>
      </c>
      <c r="H69">
        <f t="shared" si="7"/>
        <v>1</v>
      </c>
    </row>
    <row r="70" spans="1:8">
      <c r="A70" s="4">
        <v>44361.7083333333</v>
      </c>
      <c r="B70">
        <v>17.632334</v>
      </c>
      <c r="C70">
        <v>16.7136</v>
      </c>
      <c r="E70">
        <f t="shared" si="4"/>
        <v>0.918734000000001</v>
      </c>
      <c r="F70">
        <f t="shared" si="5"/>
        <v>0.00918734000000001</v>
      </c>
      <c r="G70">
        <f t="shared" si="6"/>
        <v>0.99081266</v>
      </c>
      <c r="H70">
        <f t="shared" si="7"/>
        <v>1</v>
      </c>
    </row>
    <row r="71" spans="1:8">
      <c r="A71" s="4">
        <v>44361.71875</v>
      </c>
      <c r="B71">
        <v>16.84222</v>
      </c>
      <c r="C71">
        <v>14.206369</v>
      </c>
      <c r="E71">
        <f t="shared" si="4"/>
        <v>2.635851</v>
      </c>
      <c r="F71">
        <f t="shared" si="5"/>
        <v>0.02635851</v>
      </c>
      <c r="G71">
        <f t="shared" si="6"/>
        <v>0.97364149</v>
      </c>
      <c r="H71">
        <f t="shared" si="7"/>
        <v>1</v>
      </c>
    </row>
    <row r="72" spans="1:8">
      <c r="A72" s="4">
        <v>44361.7291666667</v>
      </c>
      <c r="B72">
        <v>13.701674</v>
      </c>
      <c r="C72">
        <v>11.760709</v>
      </c>
      <c r="E72">
        <f t="shared" si="4"/>
        <v>1.940965</v>
      </c>
      <c r="F72">
        <f t="shared" si="5"/>
        <v>0.01940965</v>
      </c>
      <c r="G72">
        <f t="shared" si="6"/>
        <v>0.98059035</v>
      </c>
      <c r="H72">
        <f t="shared" si="7"/>
        <v>1</v>
      </c>
    </row>
    <row r="73" spans="1:8">
      <c r="A73" s="4">
        <v>44361.7395833333</v>
      </c>
      <c r="B73">
        <v>11.439572</v>
      </c>
      <c r="C73">
        <v>9.494965</v>
      </c>
      <c r="E73">
        <f t="shared" si="4"/>
        <v>1.944607</v>
      </c>
      <c r="F73">
        <f t="shared" si="5"/>
        <v>0.01944607</v>
      </c>
      <c r="G73">
        <f t="shared" si="6"/>
        <v>0.98055393</v>
      </c>
      <c r="H73">
        <f t="shared" si="7"/>
        <v>1</v>
      </c>
    </row>
    <row r="74" spans="1:8">
      <c r="A74" s="4">
        <v>44361.75</v>
      </c>
      <c r="B74">
        <v>9.637115</v>
      </c>
      <c r="C74">
        <v>7.529395</v>
      </c>
      <c r="E74">
        <f t="shared" si="4"/>
        <v>2.10772</v>
      </c>
      <c r="F74">
        <f t="shared" si="5"/>
        <v>0.0210772</v>
      </c>
      <c r="G74">
        <f t="shared" si="6"/>
        <v>0.9789228</v>
      </c>
      <c r="H74">
        <f t="shared" si="7"/>
        <v>1</v>
      </c>
    </row>
    <row r="75" spans="1:8">
      <c r="A75" s="4">
        <v>44361.7604166667</v>
      </c>
      <c r="B75">
        <v>7.659983</v>
      </c>
      <c r="C75">
        <v>5.876507</v>
      </c>
      <c r="E75">
        <f t="shared" si="4"/>
        <v>1.783476</v>
      </c>
      <c r="F75">
        <f t="shared" si="5"/>
        <v>0.01783476</v>
      </c>
      <c r="G75">
        <f t="shared" si="6"/>
        <v>0.98216524</v>
      </c>
      <c r="H75">
        <f t="shared" si="7"/>
        <v>1</v>
      </c>
    </row>
    <row r="76" spans="1:8">
      <c r="A76" s="4">
        <v>44361.7708333333</v>
      </c>
      <c r="B76">
        <v>5.984618</v>
      </c>
      <c r="C76">
        <v>4.078342</v>
      </c>
      <c r="E76">
        <f t="shared" si="4"/>
        <v>1.906276</v>
      </c>
      <c r="F76">
        <f t="shared" si="5"/>
        <v>0.01906276</v>
      </c>
      <c r="G76">
        <f t="shared" si="6"/>
        <v>0.98093724</v>
      </c>
      <c r="H76">
        <f t="shared" si="7"/>
        <v>1</v>
      </c>
    </row>
    <row r="77" spans="1:8">
      <c r="A77" s="4">
        <v>44361.78125</v>
      </c>
      <c r="B77">
        <v>4.087901</v>
      </c>
      <c r="C77">
        <v>2.316737</v>
      </c>
      <c r="E77">
        <f t="shared" si="4"/>
        <v>1.771164</v>
      </c>
      <c r="F77">
        <f t="shared" si="5"/>
        <v>0.01771164</v>
      </c>
      <c r="G77">
        <f t="shared" si="6"/>
        <v>0.98228836</v>
      </c>
      <c r="H77">
        <f t="shared" si="7"/>
        <v>1</v>
      </c>
    </row>
    <row r="78" spans="1:8">
      <c r="A78" s="4">
        <v>44361.7916666667</v>
      </c>
      <c r="B78">
        <v>2.344751</v>
      </c>
      <c r="C78">
        <v>0</v>
      </c>
      <c r="E78">
        <f t="shared" si="4"/>
        <v>2.344751</v>
      </c>
      <c r="F78">
        <f t="shared" si="5"/>
        <v>0.02344751</v>
      </c>
      <c r="G78">
        <f t="shared" si="6"/>
        <v>0.97655249</v>
      </c>
      <c r="H78">
        <f t="shared" si="7"/>
        <v>1</v>
      </c>
    </row>
    <row r="79" spans="1:8">
      <c r="A79" s="4">
        <v>44361.8020833333</v>
      </c>
      <c r="B79">
        <v>0.014986</v>
      </c>
      <c r="C79">
        <v>0</v>
      </c>
      <c r="E79">
        <f t="shared" si="4"/>
        <v>0.014986</v>
      </c>
      <c r="F79">
        <f t="shared" si="5"/>
        <v>0.00014986</v>
      </c>
      <c r="G79">
        <f t="shared" si="6"/>
        <v>0.99985014</v>
      </c>
      <c r="H79">
        <f t="shared" si="7"/>
        <v>1</v>
      </c>
    </row>
    <row r="80" spans="1:8">
      <c r="A80" s="4">
        <v>44361.8125</v>
      </c>
      <c r="B80">
        <v>0</v>
      </c>
      <c r="C80">
        <v>0</v>
      </c>
      <c r="E80">
        <f t="shared" si="4"/>
        <v>0</v>
      </c>
      <c r="F80">
        <f t="shared" si="5"/>
        <v>0</v>
      </c>
      <c r="G80">
        <f t="shared" si="6"/>
        <v>1</v>
      </c>
      <c r="H80">
        <f t="shared" si="7"/>
        <v>1</v>
      </c>
    </row>
    <row r="81" spans="1:8">
      <c r="A81" s="4">
        <v>44361.8229166667</v>
      </c>
      <c r="B81">
        <v>0</v>
      </c>
      <c r="C81">
        <v>0</v>
      </c>
      <c r="E81">
        <f t="shared" si="4"/>
        <v>0</v>
      </c>
      <c r="F81">
        <f t="shared" si="5"/>
        <v>0</v>
      </c>
      <c r="G81">
        <f t="shared" si="6"/>
        <v>1</v>
      </c>
      <c r="H81">
        <f t="shared" si="7"/>
        <v>1</v>
      </c>
    </row>
    <row r="82" spans="1:8">
      <c r="A82" s="4">
        <v>44361.8333333333</v>
      </c>
      <c r="B82">
        <v>0</v>
      </c>
      <c r="C82">
        <v>0</v>
      </c>
      <c r="E82">
        <f t="shared" si="4"/>
        <v>0</v>
      </c>
      <c r="F82">
        <f t="shared" si="5"/>
        <v>0</v>
      </c>
      <c r="G82">
        <f t="shared" si="6"/>
        <v>1</v>
      </c>
      <c r="H82">
        <f t="shared" si="7"/>
        <v>1</v>
      </c>
    </row>
    <row r="83" spans="1:8">
      <c r="A83" s="4">
        <v>44361.84375</v>
      </c>
      <c r="B83">
        <v>0</v>
      </c>
      <c r="C83">
        <v>0</v>
      </c>
      <c r="E83">
        <f t="shared" si="4"/>
        <v>0</v>
      </c>
      <c r="F83">
        <f t="shared" si="5"/>
        <v>0</v>
      </c>
      <c r="G83">
        <f t="shared" si="6"/>
        <v>1</v>
      </c>
      <c r="H83">
        <f t="shared" si="7"/>
        <v>1</v>
      </c>
    </row>
    <row r="84" spans="1:8">
      <c r="A84" s="4">
        <v>44361.8541666667</v>
      </c>
      <c r="B84">
        <v>0</v>
      </c>
      <c r="C84">
        <v>0</v>
      </c>
      <c r="E84">
        <f t="shared" si="4"/>
        <v>0</v>
      </c>
      <c r="F84">
        <f t="shared" si="5"/>
        <v>0</v>
      </c>
      <c r="G84">
        <f t="shared" si="6"/>
        <v>1</v>
      </c>
      <c r="H84">
        <f t="shared" si="7"/>
        <v>1</v>
      </c>
    </row>
    <row r="85" spans="1:8">
      <c r="A85" s="4">
        <v>44361.8645833333</v>
      </c>
      <c r="B85">
        <v>0</v>
      </c>
      <c r="C85">
        <v>0</v>
      </c>
      <c r="E85">
        <f t="shared" si="4"/>
        <v>0</v>
      </c>
      <c r="F85">
        <f t="shared" si="5"/>
        <v>0</v>
      </c>
      <c r="G85">
        <f t="shared" si="6"/>
        <v>1</v>
      </c>
      <c r="H85">
        <f t="shared" si="7"/>
        <v>1</v>
      </c>
    </row>
    <row r="86" spans="1:8">
      <c r="A86" s="4">
        <v>44361.875</v>
      </c>
      <c r="B86">
        <v>0</v>
      </c>
      <c r="C86">
        <v>0</v>
      </c>
      <c r="E86">
        <f t="shared" si="4"/>
        <v>0</v>
      </c>
      <c r="F86">
        <f t="shared" si="5"/>
        <v>0</v>
      </c>
      <c r="G86">
        <f t="shared" si="6"/>
        <v>1</v>
      </c>
      <c r="H86">
        <f t="shared" si="7"/>
        <v>1</v>
      </c>
    </row>
    <row r="87" spans="1:8">
      <c r="A87" s="4">
        <v>44361.8854166667</v>
      </c>
      <c r="B87">
        <v>0</v>
      </c>
      <c r="C87">
        <v>0</v>
      </c>
      <c r="E87">
        <f t="shared" si="4"/>
        <v>0</v>
      </c>
      <c r="F87">
        <f t="shared" si="5"/>
        <v>0</v>
      </c>
      <c r="G87">
        <f t="shared" si="6"/>
        <v>1</v>
      </c>
      <c r="H87">
        <f t="shared" si="7"/>
        <v>1</v>
      </c>
    </row>
    <row r="88" spans="1:8">
      <c r="A88" s="4">
        <v>44361.8958333333</v>
      </c>
      <c r="B88">
        <v>0</v>
      </c>
      <c r="C88">
        <v>0</v>
      </c>
      <c r="E88">
        <f t="shared" si="4"/>
        <v>0</v>
      </c>
      <c r="F88">
        <f t="shared" si="5"/>
        <v>0</v>
      </c>
      <c r="G88">
        <f t="shared" si="6"/>
        <v>1</v>
      </c>
      <c r="H88">
        <f t="shared" si="7"/>
        <v>1</v>
      </c>
    </row>
    <row r="89" spans="1:8">
      <c r="A89" s="4">
        <v>44361.90625</v>
      </c>
      <c r="B89">
        <v>0</v>
      </c>
      <c r="C89">
        <v>0</v>
      </c>
      <c r="E89">
        <f t="shared" si="4"/>
        <v>0</v>
      </c>
      <c r="F89">
        <f t="shared" si="5"/>
        <v>0</v>
      </c>
      <c r="G89">
        <f t="shared" si="6"/>
        <v>1</v>
      </c>
      <c r="H89">
        <f t="shared" si="7"/>
        <v>1</v>
      </c>
    </row>
    <row r="90" spans="1:8">
      <c r="A90" s="4">
        <v>44361.9166666667</v>
      </c>
      <c r="B90">
        <v>0</v>
      </c>
      <c r="C90">
        <v>0</v>
      </c>
      <c r="E90">
        <f t="shared" si="4"/>
        <v>0</v>
      </c>
      <c r="F90">
        <f t="shared" si="5"/>
        <v>0</v>
      </c>
      <c r="G90">
        <f t="shared" si="6"/>
        <v>1</v>
      </c>
      <c r="H90">
        <f t="shared" si="7"/>
        <v>1</v>
      </c>
    </row>
    <row r="91" spans="1:8">
      <c r="A91" s="4">
        <v>44361.9270833333</v>
      </c>
      <c r="B91">
        <v>0</v>
      </c>
      <c r="C91">
        <v>0</v>
      </c>
      <c r="E91">
        <f t="shared" si="4"/>
        <v>0</v>
      </c>
      <c r="F91">
        <f t="shared" si="5"/>
        <v>0</v>
      </c>
      <c r="G91">
        <f t="shared" si="6"/>
        <v>1</v>
      </c>
      <c r="H91">
        <f t="shared" si="7"/>
        <v>1</v>
      </c>
    </row>
    <row r="92" spans="1:8">
      <c r="A92" s="4">
        <v>44361.9375</v>
      </c>
      <c r="B92">
        <v>0</v>
      </c>
      <c r="C92">
        <v>0</v>
      </c>
      <c r="E92">
        <f t="shared" si="4"/>
        <v>0</v>
      </c>
      <c r="F92">
        <f t="shared" si="5"/>
        <v>0</v>
      </c>
      <c r="G92">
        <f t="shared" si="6"/>
        <v>1</v>
      </c>
      <c r="H92">
        <f t="shared" si="7"/>
        <v>1</v>
      </c>
    </row>
    <row r="93" spans="1:8">
      <c r="A93" s="4">
        <v>44361.9479166667</v>
      </c>
      <c r="B93">
        <v>0</v>
      </c>
      <c r="C93">
        <v>0</v>
      </c>
      <c r="E93">
        <f t="shared" si="4"/>
        <v>0</v>
      </c>
      <c r="F93">
        <f t="shared" si="5"/>
        <v>0</v>
      </c>
      <c r="G93">
        <f t="shared" si="6"/>
        <v>1</v>
      </c>
      <c r="H93">
        <f t="shared" si="7"/>
        <v>1</v>
      </c>
    </row>
    <row r="94" spans="1:8">
      <c r="A94" s="4">
        <v>44361.9583333333</v>
      </c>
      <c r="B94">
        <v>0</v>
      </c>
      <c r="C94">
        <v>0</v>
      </c>
      <c r="E94">
        <f t="shared" si="4"/>
        <v>0</v>
      </c>
      <c r="F94">
        <f t="shared" si="5"/>
        <v>0</v>
      </c>
      <c r="G94">
        <f t="shared" si="6"/>
        <v>1</v>
      </c>
      <c r="H94">
        <f t="shared" si="7"/>
        <v>1</v>
      </c>
    </row>
    <row r="95" spans="1:8">
      <c r="A95" s="4">
        <v>44361.96875</v>
      </c>
      <c r="B95">
        <v>0</v>
      </c>
      <c r="C95">
        <v>0</v>
      </c>
      <c r="E95">
        <f t="shared" si="4"/>
        <v>0</v>
      </c>
      <c r="F95">
        <f t="shared" si="5"/>
        <v>0</v>
      </c>
      <c r="G95">
        <f t="shared" si="6"/>
        <v>1</v>
      </c>
      <c r="H95">
        <f t="shared" si="7"/>
        <v>1</v>
      </c>
    </row>
    <row r="96" spans="1:8">
      <c r="A96" s="4">
        <v>44361.9791666667</v>
      </c>
      <c r="B96">
        <v>0</v>
      </c>
      <c r="C96">
        <v>0</v>
      </c>
      <c r="E96">
        <f t="shared" si="4"/>
        <v>0</v>
      </c>
      <c r="F96">
        <f t="shared" si="5"/>
        <v>0</v>
      </c>
      <c r="G96">
        <f t="shared" si="6"/>
        <v>1</v>
      </c>
      <c r="H96">
        <f t="shared" si="7"/>
        <v>1</v>
      </c>
    </row>
    <row r="97" spans="1:8">
      <c r="A97" s="4">
        <v>44361.9895833333</v>
      </c>
      <c r="B97">
        <v>0</v>
      </c>
      <c r="C97">
        <v>0</v>
      </c>
      <c r="E97">
        <f t="shared" si="4"/>
        <v>0</v>
      </c>
      <c r="F97">
        <f t="shared" si="5"/>
        <v>0</v>
      </c>
      <c r="G97">
        <f t="shared" si="6"/>
        <v>1</v>
      </c>
      <c r="H97">
        <f t="shared" si="7"/>
        <v>1</v>
      </c>
    </row>
  </sheetData>
  <mergeCells count="1">
    <mergeCell ref="E1:H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workbookViewId="0">
      <selection activeCell="F7" sqref="B2:B97 F7"/>
    </sheetView>
  </sheetViews>
  <sheetFormatPr defaultColWidth="9" defaultRowHeight="13.5"/>
  <cols>
    <col min="1" max="2" width="17.125" customWidth="1"/>
    <col min="3" max="3" width="20.125" style="1" customWidth="1"/>
    <col min="4" max="4" width="20" style="1" customWidth="1"/>
    <col min="5" max="5" width="24.625" style="1" customWidth="1"/>
    <col min="6" max="6" width="25.75" style="1" customWidth="1"/>
    <col min="7" max="7" width="21.375" hidden="1" customWidth="1"/>
    <col min="8" max="9" width="14.875" customWidth="1"/>
    <col min="10" max="11" width="12.625"/>
    <col min="12" max="12" width="13.75" hidden="1" customWidth="1"/>
    <col min="13" max="13" width="9" hidden="1" customWidth="1"/>
    <col min="14" max="14" width="12.625" hidden="1" customWidth="1"/>
    <col min="15" max="15" width="12.625"/>
    <col min="16" max="16" width="13.75"/>
  </cols>
  <sheetData>
    <row r="1" spans="3:16">
      <c r="C1" s="2" t="s">
        <v>41</v>
      </c>
      <c r="D1" s="2" t="s">
        <v>42</v>
      </c>
      <c r="E1" s="2" t="s">
        <v>43</v>
      </c>
      <c r="F1" s="2" t="s">
        <v>44</v>
      </c>
      <c r="H1" s="3" t="s">
        <v>45</v>
      </c>
      <c r="I1" s="3" t="s">
        <v>45</v>
      </c>
      <c r="J1" s="3"/>
      <c r="K1" s="3"/>
      <c r="O1" s="5" t="s">
        <v>46</v>
      </c>
      <c r="P1" s="5" t="s">
        <v>47</v>
      </c>
    </row>
    <row r="2" spans="1:16">
      <c r="A2" s="4"/>
      <c r="B2" s="4">
        <v>44361</v>
      </c>
      <c r="C2" s="1">
        <v>8.810851</v>
      </c>
      <c r="D2" s="1">
        <v>17.860001</v>
      </c>
      <c r="E2" s="1" t="str">
        <f>IF(C2&lt;10,"",C2)</f>
        <v/>
      </c>
      <c r="F2" s="1" t="str">
        <f>IF(C2&lt;10,"",D2)</f>
        <v/>
      </c>
      <c r="H2" t="e">
        <f>(E2-F2)/E2</f>
        <v>#VALUE!</v>
      </c>
      <c r="I2" t="str">
        <f>IF(C2&lt;10,"",H2)</f>
        <v/>
      </c>
      <c r="J2" t="e">
        <f>H2*H2</f>
        <v>#VALUE!</v>
      </c>
      <c r="K2" t="str">
        <f>IF(C2&lt;10,"",J2)</f>
        <v/>
      </c>
      <c r="L2">
        <f>SUM(K:K)</f>
        <v>1.54873049780294</v>
      </c>
      <c r="M2">
        <f>COUNT(E:E)</f>
        <v>16</v>
      </c>
      <c r="N2">
        <f>L2/M2</f>
        <v>0.096795656112684</v>
      </c>
      <c r="O2" s="6">
        <f>SQRT(N2)</f>
        <v>0.311120002752449</v>
      </c>
      <c r="P2" s="6">
        <f>1-O2</f>
        <v>0.688879997247551</v>
      </c>
    </row>
    <row r="3" spans="1:11">
      <c r="A3" s="4"/>
      <c r="B3" s="4">
        <v>44361.0104166667</v>
      </c>
      <c r="C3" s="1">
        <v>6.248775</v>
      </c>
      <c r="D3" s="1">
        <v>16.35</v>
      </c>
      <c r="E3" s="1" t="str">
        <f t="shared" ref="E3:E46" si="0">IF(C3&lt;10,"",C3)</f>
        <v/>
      </c>
      <c r="F3" s="1" t="str">
        <f t="shared" ref="F3:F46" si="1">IF(C3&lt;10,"",D3)</f>
        <v/>
      </c>
      <c r="H3" t="e">
        <f t="shared" ref="H3:H46" si="2">(E3-F3)/E3</f>
        <v>#VALUE!</v>
      </c>
      <c r="I3" t="str">
        <f t="shared" ref="I3:I46" si="3">IF(C3&lt;10,"",H3)</f>
        <v/>
      </c>
      <c r="J3" t="e">
        <f t="shared" ref="J3:J46" si="4">H3*H3</f>
        <v>#VALUE!</v>
      </c>
      <c r="K3" t="str">
        <f t="shared" ref="K3:K46" si="5">IF(C3&lt;10,"",J3)</f>
        <v/>
      </c>
    </row>
    <row r="4" spans="1:11">
      <c r="A4" s="4"/>
      <c r="B4" s="4">
        <v>44361.0208333333</v>
      </c>
      <c r="C4" s="1">
        <v>4.867529</v>
      </c>
      <c r="D4" s="1">
        <v>15.03</v>
      </c>
      <c r="E4" s="1" t="str">
        <f t="shared" si="0"/>
        <v/>
      </c>
      <c r="F4" s="1" t="str">
        <f t="shared" si="1"/>
        <v/>
      </c>
      <c r="H4" t="e">
        <f t="shared" si="2"/>
        <v>#VALUE!</v>
      </c>
      <c r="I4" t="str">
        <f t="shared" si="3"/>
        <v/>
      </c>
      <c r="J4" t="e">
        <f t="shared" si="4"/>
        <v>#VALUE!</v>
      </c>
      <c r="K4" t="str">
        <f t="shared" si="5"/>
        <v/>
      </c>
    </row>
    <row r="5" spans="1:11">
      <c r="A5" s="4"/>
      <c r="B5" s="4">
        <v>44361.03125</v>
      </c>
      <c r="C5" s="1">
        <v>4.877902</v>
      </c>
      <c r="D5" s="1">
        <v>13.94</v>
      </c>
      <c r="E5" s="1" t="str">
        <f t="shared" si="0"/>
        <v/>
      </c>
      <c r="F5" s="1" t="str">
        <f t="shared" si="1"/>
        <v/>
      </c>
      <c r="H5" t="e">
        <f t="shared" si="2"/>
        <v>#VALUE!</v>
      </c>
      <c r="I5" t="str">
        <f t="shared" si="3"/>
        <v/>
      </c>
      <c r="J5" t="e">
        <f t="shared" si="4"/>
        <v>#VALUE!</v>
      </c>
      <c r="K5" t="str">
        <f t="shared" si="5"/>
        <v/>
      </c>
    </row>
    <row r="6" spans="1:11">
      <c r="A6" s="4"/>
      <c r="B6" s="4">
        <v>44361.0416666667</v>
      </c>
      <c r="C6" s="1">
        <v>4.908217</v>
      </c>
      <c r="D6" s="1">
        <v>13.08</v>
      </c>
      <c r="E6" s="1" t="str">
        <f t="shared" si="0"/>
        <v/>
      </c>
      <c r="F6" s="1" t="str">
        <f t="shared" si="1"/>
        <v/>
      </c>
      <c r="H6" t="e">
        <f t="shared" si="2"/>
        <v>#VALUE!</v>
      </c>
      <c r="I6" t="str">
        <f t="shared" si="3"/>
        <v/>
      </c>
      <c r="J6" t="e">
        <f t="shared" si="4"/>
        <v>#VALUE!</v>
      </c>
      <c r="K6" t="str">
        <f t="shared" si="5"/>
        <v/>
      </c>
    </row>
    <row r="7" spans="1:11">
      <c r="A7" s="4"/>
      <c r="B7" s="4">
        <v>44361.0520833333</v>
      </c>
      <c r="C7" s="1">
        <v>4.565852</v>
      </c>
      <c r="D7" s="1">
        <v>12.44</v>
      </c>
      <c r="E7" s="1" t="str">
        <f t="shared" si="0"/>
        <v/>
      </c>
      <c r="F7" s="1" t="str">
        <f t="shared" si="1"/>
        <v/>
      </c>
      <c r="H7" t="e">
        <f t="shared" si="2"/>
        <v>#VALUE!</v>
      </c>
      <c r="I7" t="str">
        <f t="shared" si="3"/>
        <v/>
      </c>
      <c r="J7" t="e">
        <f t="shared" si="4"/>
        <v>#VALUE!</v>
      </c>
      <c r="K7" t="str">
        <f t="shared" si="5"/>
        <v/>
      </c>
    </row>
    <row r="8" spans="1:11">
      <c r="A8" s="4"/>
      <c r="B8" s="4">
        <v>44361.0625</v>
      </c>
      <c r="C8" s="1">
        <v>3.88</v>
      </c>
      <c r="D8" s="1">
        <v>11.98</v>
      </c>
      <c r="E8" s="1" t="str">
        <f t="shared" si="0"/>
        <v/>
      </c>
      <c r="F8" s="1" t="str">
        <f t="shared" si="1"/>
        <v/>
      </c>
      <c r="H8" t="e">
        <f t="shared" si="2"/>
        <v>#VALUE!</v>
      </c>
      <c r="I8" t="str">
        <f t="shared" si="3"/>
        <v/>
      </c>
      <c r="J8" t="e">
        <f t="shared" si="4"/>
        <v>#VALUE!</v>
      </c>
      <c r="K8" t="str">
        <f t="shared" si="5"/>
        <v/>
      </c>
    </row>
    <row r="9" spans="1:11">
      <c r="A9" s="4"/>
      <c r="B9" s="4">
        <v>44361.0729166667</v>
      </c>
      <c r="C9" s="1">
        <v>3.921262</v>
      </c>
      <c r="D9" s="1">
        <v>11.67</v>
      </c>
      <c r="E9" s="1" t="str">
        <f t="shared" si="0"/>
        <v/>
      </c>
      <c r="F9" s="1" t="str">
        <f t="shared" si="1"/>
        <v/>
      </c>
      <c r="H9" t="e">
        <f t="shared" si="2"/>
        <v>#VALUE!</v>
      </c>
      <c r="I9" t="str">
        <f t="shared" si="3"/>
        <v/>
      </c>
      <c r="J9" t="e">
        <f t="shared" si="4"/>
        <v>#VALUE!</v>
      </c>
      <c r="K9" t="str">
        <f t="shared" si="5"/>
        <v/>
      </c>
    </row>
    <row r="10" spans="1:11">
      <c r="A10" s="4"/>
      <c r="B10" s="4">
        <v>44361.0833333333</v>
      </c>
      <c r="C10" s="1">
        <v>3.849793</v>
      </c>
      <c r="D10" s="1">
        <v>11.48</v>
      </c>
      <c r="E10" s="1" t="str">
        <f t="shared" si="0"/>
        <v/>
      </c>
      <c r="F10" s="1" t="str">
        <f t="shared" si="1"/>
        <v/>
      </c>
      <c r="H10" t="e">
        <f t="shared" si="2"/>
        <v>#VALUE!</v>
      </c>
      <c r="I10" t="str">
        <f t="shared" si="3"/>
        <v/>
      </c>
      <c r="J10" t="e">
        <f t="shared" si="4"/>
        <v>#VALUE!</v>
      </c>
      <c r="K10" t="str">
        <f t="shared" si="5"/>
        <v/>
      </c>
    </row>
    <row r="11" spans="1:11">
      <c r="A11" s="4"/>
      <c r="B11" s="4">
        <v>44361.09375</v>
      </c>
      <c r="C11" s="1">
        <v>4.227039</v>
      </c>
      <c r="D11" s="1">
        <v>11.38</v>
      </c>
      <c r="E11" s="1" t="str">
        <f t="shared" si="0"/>
        <v/>
      </c>
      <c r="F11" s="1" t="str">
        <f t="shared" si="1"/>
        <v/>
      </c>
      <c r="H11" t="e">
        <f t="shared" si="2"/>
        <v>#VALUE!</v>
      </c>
      <c r="I11" t="str">
        <f t="shared" si="3"/>
        <v/>
      </c>
      <c r="J11" t="e">
        <f t="shared" si="4"/>
        <v>#VALUE!</v>
      </c>
      <c r="K11" t="str">
        <f t="shared" si="5"/>
        <v/>
      </c>
    </row>
    <row r="12" spans="1:11">
      <c r="A12" s="4"/>
      <c r="B12" s="4">
        <v>44361.1041666667</v>
      </c>
      <c r="C12" s="1">
        <v>4.505337</v>
      </c>
      <c r="D12" s="1">
        <v>11.35</v>
      </c>
      <c r="E12" s="1" t="str">
        <f t="shared" si="0"/>
        <v/>
      </c>
      <c r="F12" s="1" t="str">
        <f t="shared" si="1"/>
        <v/>
      </c>
      <c r="H12" t="e">
        <f t="shared" si="2"/>
        <v>#VALUE!</v>
      </c>
      <c r="I12" t="str">
        <f t="shared" si="3"/>
        <v/>
      </c>
      <c r="J12" t="e">
        <f t="shared" si="4"/>
        <v>#VALUE!</v>
      </c>
      <c r="K12" t="str">
        <f t="shared" si="5"/>
        <v/>
      </c>
    </row>
    <row r="13" spans="1:11">
      <c r="A13" s="4"/>
      <c r="B13" s="4">
        <v>44361.1145833333</v>
      </c>
      <c r="C13" s="1">
        <v>4.956434</v>
      </c>
      <c r="D13" s="1">
        <v>11.37</v>
      </c>
      <c r="E13" s="1" t="str">
        <f t="shared" si="0"/>
        <v/>
      </c>
      <c r="F13" s="1" t="str">
        <f t="shared" si="1"/>
        <v/>
      </c>
      <c r="H13" t="e">
        <f t="shared" si="2"/>
        <v>#VALUE!</v>
      </c>
      <c r="I13" t="str">
        <f t="shared" si="3"/>
        <v/>
      </c>
      <c r="J13" t="e">
        <f t="shared" si="4"/>
        <v>#VALUE!</v>
      </c>
      <c r="K13" t="str">
        <f t="shared" si="5"/>
        <v/>
      </c>
    </row>
    <row r="14" spans="1:11">
      <c r="A14" s="4"/>
      <c r="B14" s="4">
        <v>44361.125</v>
      </c>
      <c r="C14" s="1">
        <v>5.066248</v>
      </c>
      <c r="D14" s="1">
        <v>11.44</v>
      </c>
      <c r="E14" s="1" t="str">
        <f t="shared" si="0"/>
        <v/>
      </c>
      <c r="F14" s="1" t="str">
        <f t="shared" si="1"/>
        <v/>
      </c>
      <c r="H14" t="e">
        <f t="shared" si="2"/>
        <v>#VALUE!</v>
      </c>
      <c r="I14" t="str">
        <f t="shared" si="3"/>
        <v/>
      </c>
      <c r="J14" t="e">
        <f t="shared" si="4"/>
        <v>#VALUE!</v>
      </c>
      <c r="K14" t="str">
        <f t="shared" si="5"/>
        <v/>
      </c>
    </row>
    <row r="15" spans="1:11">
      <c r="A15" s="4"/>
      <c r="B15" s="4">
        <v>44361.1354166667</v>
      </c>
      <c r="C15" s="1">
        <v>4.711384</v>
      </c>
      <c r="D15" s="1">
        <v>11.55</v>
      </c>
      <c r="E15" s="1" t="str">
        <f t="shared" si="0"/>
        <v/>
      </c>
      <c r="F15" s="1" t="str">
        <f t="shared" si="1"/>
        <v/>
      </c>
      <c r="H15" t="e">
        <f t="shared" si="2"/>
        <v>#VALUE!</v>
      </c>
      <c r="I15" t="str">
        <f t="shared" si="3"/>
        <v/>
      </c>
      <c r="J15" t="e">
        <f t="shared" si="4"/>
        <v>#VALUE!</v>
      </c>
      <c r="K15" t="str">
        <f t="shared" si="5"/>
        <v/>
      </c>
    </row>
    <row r="16" spans="1:11">
      <c r="A16" s="4"/>
      <c r="B16" s="4">
        <v>44361.1458333333</v>
      </c>
      <c r="C16" s="1">
        <v>4.125246</v>
      </c>
      <c r="D16" s="1">
        <v>11.69</v>
      </c>
      <c r="E16" s="1" t="str">
        <f t="shared" si="0"/>
        <v/>
      </c>
      <c r="F16" s="1" t="str">
        <f t="shared" si="1"/>
        <v/>
      </c>
      <c r="H16" t="e">
        <f t="shared" si="2"/>
        <v>#VALUE!</v>
      </c>
      <c r="I16" t="str">
        <f t="shared" si="3"/>
        <v/>
      </c>
      <c r="J16" t="e">
        <f t="shared" si="4"/>
        <v>#VALUE!</v>
      </c>
      <c r="K16" t="str">
        <f t="shared" si="5"/>
        <v/>
      </c>
    </row>
    <row r="17" spans="1:11">
      <c r="A17" s="4"/>
      <c r="B17" s="4">
        <v>44361.15625</v>
      </c>
      <c r="C17" s="1">
        <v>4.957705</v>
      </c>
      <c r="D17" s="1">
        <v>11.84</v>
      </c>
      <c r="E17" s="1" t="str">
        <f t="shared" si="0"/>
        <v/>
      </c>
      <c r="F17" s="1" t="str">
        <f t="shared" si="1"/>
        <v/>
      </c>
      <c r="H17" t="e">
        <f t="shared" si="2"/>
        <v>#VALUE!</v>
      </c>
      <c r="I17" t="str">
        <f t="shared" si="3"/>
        <v/>
      </c>
      <c r="J17" t="e">
        <f t="shared" si="4"/>
        <v>#VALUE!</v>
      </c>
      <c r="K17" t="str">
        <f t="shared" si="5"/>
        <v/>
      </c>
    </row>
    <row r="18" spans="1:11">
      <c r="A18" s="4"/>
      <c r="B18" s="4">
        <v>44361.1666666667</v>
      </c>
      <c r="C18" s="1">
        <v>6.35638</v>
      </c>
      <c r="D18" s="1">
        <v>11.94</v>
      </c>
      <c r="E18" s="1" t="str">
        <f t="shared" si="0"/>
        <v/>
      </c>
      <c r="F18" s="1" t="str">
        <f t="shared" si="1"/>
        <v/>
      </c>
      <c r="H18" t="e">
        <f t="shared" si="2"/>
        <v>#VALUE!</v>
      </c>
      <c r="I18" t="str">
        <f t="shared" si="3"/>
        <v/>
      </c>
      <c r="J18" t="e">
        <f t="shared" si="4"/>
        <v>#VALUE!</v>
      </c>
      <c r="K18" t="str">
        <f t="shared" si="5"/>
        <v/>
      </c>
    </row>
    <row r="19" spans="1:11">
      <c r="A19" s="4"/>
      <c r="B19" s="4">
        <v>44361.1770833333</v>
      </c>
      <c r="C19" s="1">
        <v>7.520442</v>
      </c>
      <c r="D19" s="1">
        <v>11.96</v>
      </c>
      <c r="E19" s="1" t="str">
        <f t="shared" si="0"/>
        <v/>
      </c>
      <c r="F19" s="1" t="str">
        <f t="shared" si="1"/>
        <v/>
      </c>
      <c r="H19" t="e">
        <f t="shared" si="2"/>
        <v>#VALUE!</v>
      </c>
      <c r="I19" t="str">
        <f t="shared" si="3"/>
        <v/>
      </c>
      <c r="J19" t="e">
        <f t="shared" si="4"/>
        <v>#VALUE!</v>
      </c>
      <c r="K19" t="str">
        <f t="shared" si="5"/>
        <v/>
      </c>
    </row>
    <row r="20" spans="1:11">
      <c r="A20" s="4"/>
      <c r="B20" s="4">
        <v>44361.1875</v>
      </c>
      <c r="C20" s="1">
        <v>6.25528</v>
      </c>
      <c r="D20" s="1">
        <v>11.85</v>
      </c>
      <c r="E20" s="1" t="str">
        <f t="shared" si="0"/>
        <v/>
      </c>
      <c r="F20" s="1" t="str">
        <f t="shared" si="1"/>
        <v/>
      </c>
      <c r="H20" t="e">
        <f t="shared" si="2"/>
        <v>#VALUE!</v>
      </c>
      <c r="I20" t="str">
        <f t="shared" si="3"/>
        <v/>
      </c>
      <c r="J20" t="e">
        <f t="shared" si="4"/>
        <v>#VALUE!</v>
      </c>
      <c r="K20" t="str">
        <f t="shared" si="5"/>
        <v/>
      </c>
    </row>
    <row r="21" spans="1:11">
      <c r="A21" s="4"/>
      <c r="B21" s="4">
        <v>44361.1979166667</v>
      </c>
      <c r="C21" s="1">
        <v>6.089209</v>
      </c>
      <c r="D21" s="1">
        <v>11.61</v>
      </c>
      <c r="E21" s="1" t="str">
        <f t="shared" si="0"/>
        <v/>
      </c>
      <c r="F21" s="1" t="str">
        <f t="shared" si="1"/>
        <v/>
      </c>
      <c r="H21" t="e">
        <f t="shared" si="2"/>
        <v>#VALUE!</v>
      </c>
      <c r="I21" t="str">
        <f t="shared" si="3"/>
        <v/>
      </c>
      <c r="J21" t="e">
        <f t="shared" si="4"/>
        <v>#VALUE!</v>
      </c>
      <c r="K21" t="str">
        <f t="shared" si="5"/>
        <v/>
      </c>
    </row>
    <row r="22" spans="1:11">
      <c r="A22" s="4"/>
      <c r="B22" s="4">
        <v>44361.2083333333</v>
      </c>
      <c r="C22" s="1">
        <v>8.291662</v>
      </c>
      <c r="D22" s="1">
        <v>11.25</v>
      </c>
      <c r="E22" s="1" t="str">
        <f t="shared" si="0"/>
        <v/>
      </c>
      <c r="F22" s="1" t="str">
        <f t="shared" si="1"/>
        <v/>
      </c>
      <c r="H22" t="e">
        <f t="shared" si="2"/>
        <v>#VALUE!</v>
      </c>
      <c r="I22" t="str">
        <f t="shared" si="3"/>
        <v/>
      </c>
      <c r="J22" t="e">
        <f t="shared" si="4"/>
        <v>#VALUE!</v>
      </c>
      <c r="K22" t="str">
        <f t="shared" si="5"/>
        <v/>
      </c>
    </row>
    <row r="23" spans="1:11">
      <c r="A23" s="4"/>
      <c r="B23" s="4">
        <v>44361.21875</v>
      </c>
      <c r="C23" s="1">
        <v>8.873043</v>
      </c>
      <c r="D23" s="1">
        <v>10.81</v>
      </c>
      <c r="E23" s="1" t="str">
        <f t="shared" si="0"/>
        <v/>
      </c>
      <c r="F23" s="1" t="str">
        <f t="shared" si="1"/>
        <v/>
      </c>
      <c r="H23" t="e">
        <f t="shared" si="2"/>
        <v>#VALUE!</v>
      </c>
      <c r="I23" t="str">
        <f t="shared" si="3"/>
        <v/>
      </c>
      <c r="J23" t="e">
        <f t="shared" si="4"/>
        <v>#VALUE!</v>
      </c>
      <c r="K23" t="str">
        <f t="shared" si="5"/>
        <v/>
      </c>
    </row>
    <row r="24" spans="1:11">
      <c r="A24" s="4"/>
      <c r="B24" s="4">
        <v>44361.2291666667</v>
      </c>
      <c r="C24" s="1">
        <v>8.81684</v>
      </c>
      <c r="D24" s="1">
        <v>10.37</v>
      </c>
      <c r="E24" s="1" t="str">
        <f t="shared" si="0"/>
        <v/>
      </c>
      <c r="F24" s="1" t="str">
        <f t="shared" si="1"/>
        <v/>
      </c>
      <c r="H24" t="e">
        <f t="shared" si="2"/>
        <v>#VALUE!</v>
      </c>
      <c r="I24" t="str">
        <f t="shared" si="3"/>
        <v/>
      </c>
      <c r="J24" t="e">
        <f t="shared" si="4"/>
        <v>#VALUE!</v>
      </c>
      <c r="K24" t="str">
        <f t="shared" si="5"/>
        <v/>
      </c>
    </row>
    <row r="25" spans="1:11">
      <c r="A25" s="4"/>
      <c r="B25" s="4">
        <v>44361.2395833333</v>
      </c>
      <c r="C25" s="1">
        <v>7.121259</v>
      </c>
      <c r="D25" s="1">
        <v>10.01</v>
      </c>
      <c r="E25" s="1" t="str">
        <f t="shared" si="0"/>
        <v/>
      </c>
      <c r="F25" s="1" t="str">
        <f t="shared" si="1"/>
        <v/>
      </c>
      <c r="H25" t="e">
        <f t="shared" si="2"/>
        <v>#VALUE!</v>
      </c>
      <c r="I25" t="str">
        <f t="shared" si="3"/>
        <v/>
      </c>
      <c r="J25" t="e">
        <f t="shared" si="4"/>
        <v>#VALUE!</v>
      </c>
      <c r="K25" t="str">
        <f t="shared" si="5"/>
        <v/>
      </c>
    </row>
    <row r="26" spans="1:11">
      <c r="A26" s="4"/>
      <c r="B26" s="4">
        <v>44361.25</v>
      </c>
      <c r="C26" s="1">
        <v>8.88531</v>
      </c>
      <c r="D26" s="1">
        <v>9.76</v>
      </c>
      <c r="E26" s="1" t="str">
        <f t="shared" si="0"/>
        <v/>
      </c>
      <c r="F26" s="1" t="str">
        <f t="shared" si="1"/>
        <v/>
      </c>
      <c r="H26" t="e">
        <f t="shared" si="2"/>
        <v>#VALUE!</v>
      </c>
      <c r="I26" t="str">
        <f t="shared" si="3"/>
        <v/>
      </c>
      <c r="J26" t="e">
        <f t="shared" si="4"/>
        <v>#VALUE!</v>
      </c>
      <c r="K26" t="str">
        <f t="shared" si="5"/>
        <v/>
      </c>
    </row>
    <row r="27" spans="1:11">
      <c r="A27" s="4"/>
      <c r="B27" s="4">
        <v>44361.2604166667</v>
      </c>
      <c r="C27" s="1">
        <v>7.791938</v>
      </c>
      <c r="D27" s="1">
        <v>9.65</v>
      </c>
      <c r="E27" s="1" t="str">
        <f t="shared" si="0"/>
        <v/>
      </c>
      <c r="F27" s="1" t="str">
        <f t="shared" si="1"/>
        <v/>
      </c>
      <c r="H27" t="e">
        <f t="shared" si="2"/>
        <v>#VALUE!</v>
      </c>
      <c r="I27" t="str">
        <f t="shared" si="3"/>
        <v/>
      </c>
      <c r="J27" t="e">
        <f t="shared" si="4"/>
        <v>#VALUE!</v>
      </c>
      <c r="K27" t="str">
        <f t="shared" si="5"/>
        <v/>
      </c>
    </row>
    <row r="28" spans="1:11">
      <c r="A28" s="4"/>
      <c r="B28" s="4">
        <v>44361.2708333333</v>
      </c>
      <c r="C28" s="1">
        <v>7.271779</v>
      </c>
      <c r="D28" s="1">
        <v>9.66</v>
      </c>
      <c r="E28" s="1" t="str">
        <f t="shared" si="0"/>
        <v/>
      </c>
      <c r="F28" s="1" t="str">
        <f t="shared" si="1"/>
        <v/>
      </c>
      <c r="H28" t="e">
        <f t="shared" si="2"/>
        <v>#VALUE!</v>
      </c>
      <c r="I28" t="str">
        <f t="shared" si="3"/>
        <v/>
      </c>
      <c r="J28" t="e">
        <f t="shared" si="4"/>
        <v>#VALUE!</v>
      </c>
      <c r="K28" t="str">
        <f t="shared" si="5"/>
        <v/>
      </c>
    </row>
    <row r="29" spans="1:11">
      <c r="A29" s="4"/>
      <c r="B29" s="4">
        <v>44361.28125</v>
      </c>
      <c r="C29" s="1">
        <v>8.513067</v>
      </c>
      <c r="D29" s="1">
        <v>9.75</v>
      </c>
      <c r="E29" s="1" t="str">
        <f t="shared" si="0"/>
        <v/>
      </c>
      <c r="F29" s="1" t="str">
        <f t="shared" si="1"/>
        <v/>
      </c>
      <c r="H29" t="e">
        <f t="shared" si="2"/>
        <v>#VALUE!</v>
      </c>
      <c r="I29" t="str">
        <f t="shared" si="3"/>
        <v/>
      </c>
      <c r="J29" t="e">
        <f t="shared" si="4"/>
        <v>#VALUE!</v>
      </c>
      <c r="K29" t="str">
        <f t="shared" si="5"/>
        <v/>
      </c>
    </row>
    <row r="30" spans="1:11">
      <c r="A30" s="4"/>
      <c r="B30" s="4">
        <v>44361.2916666667</v>
      </c>
      <c r="C30" s="1">
        <v>10.212956</v>
      </c>
      <c r="D30" s="1">
        <v>9.87</v>
      </c>
      <c r="E30" s="1">
        <f t="shared" si="0"/>
        <v>10.212956</v>
      </c>
      <c r="F30" s="1">
        <f t="shared" si="1"/>
        <v>9.87</v>
      </c>
      <c r="H30">
        <f t="shared" si="2"/>
        <v>0.0335804834565038</v>
      </c>
      <c r="I30">
        <f t="shared" si="3"/>
        <v>0.0335804834565038</v>
      </c>
      <c r="J30">
        <f t="shared" si="4"/>
        <v>0.00112764886917252</v>
      </c>
      <c r="K30">
        <f t="shared" si="5"/>
        <v>0.00112764886917252</v>
      </c>
    </row>
    <row r="31" spans="1:11">
      <c r="A31" s="4"/>
      <c r="B31" s="4">
        <v>44361.3020833333</v>
      </c>
      <c r="C31" s="1">
        <v>9.591643</v>
      </c>
      <c r="D31" s="1">
        <v>9.96</v>
      </c>
      <c r="E31" s="1" t="str">
        <f t="shared" si="0"/>
        <v/>
      </c>
      <c r="F31" s="1" t="str">
        <f t="shared" si="1"/>
        <v/>
      </c>
      <c r="H31" t="e">
        <f t="shared" si="2"/>
        <v>#VALUE!</v>
      </c>
      <c r="I31" t="str">
        <f t="shared" si="3"/>
        <v/>
      </c>
      <c r="J31" t="e">
        <f t="shared" si="4"/>
        <v>#VALUE!</v>
      </c>
      <c r="K31" t="str">
        <f t="shared" si="5"/>
        <v/>
      </c>
    </row>
    <row r="32" spans="1:11">
      <c r="A32" s="4"/>
      <c r="B32" s="4">
        <v>44361.3125</v>
      </c>
      <c r="C32" s="1">
        <v>10.386175</v>
      </c>
      <c r="D32" s="1">
        <v>9.99</v>
      </c>
      <c r="E32" s="1">
        <f t="shared" si="0"/>
        <v>10.386175</v>
      </c>
      <c r="F32" s="1">
        <f t="shared" si="1"/>
        <v>9.99</v>
      </c>
      <c r="H32">
        <f t="shared" si="2"/>
        <v>0.038144456452929</v>
      </c>
      <c r="I32">
        <f t="shared" si="3"/>
        <v>0.038144456452929</v>
      </c>
      <c r="J32">
        <f t="shared" si="4"/>
        <v>0.00145499955808939</v>
      </c>
      <c r="K32">
        <f t="shared" si="5"/>
        <v>0.00145499955808939</v>
      </c>
    </row>
    <row r="33" spans="1:11">
      <c r="A33" s="4"/>
      <c r="B33" s="4">
        <v>44361.3229166667</v>
      </c>
      <c r="C33" s="1">
        <v>10.658724</v>
      </c>
      <c r="D33" s="1">
        <v>9.94</v>
      </c>
      <c r="E33" s="1">
        <f t="shared" si="0"/>
        <v>10.658724</v>
      </c>
      <c r="F33" s="1">
        <f t="shared" si="1"/>
        <v>9.94</v>
      </c>
      <c r="H33">
        <f t="shared" si="2"/>
        <v>0.0674305854997277</v>
      </c>
      <c r="I33">
        <f t="shared" si="3"/>
        <v>0.0674305854997277</v>
      </c>
      <c r="J33">
        <f t="shared" si="4"/>
        <v>0.00454688386083609</v>
      </c>
      <c r="K33">
        <f t="shared" si="5"/>
        <v>0.00454688386083609</v>
      </c>
    </row>
    <row r="34" spans="1:11">
      <c r="A34" s="4"/>
      <c r="B34" s="4">
        <v>44361.3333333333</v>
      </c>
      <c r="C34" s="1">
        <v>13.241195</v>
      </c>
      <c r="D34" s="1">
        <v>9.8</v>
      </c>
      <c r="E34" s="1">
        <f t="shared" si="0"/>
        <v>13.241195</v>
      </c>
      <c r="F34" s="1">
        <f t="shared" si="1"/>
        <v>9.8</v>
      </c>
      <c r="H34">
        <f t="shared" si="2"/>
        <v>0.259885531479598</v>
      </c>
      <c r="I34">
        <f t="shared" si="3"/>
        <v>0.259885531479598</v>
      </c>
      <c r="J34">
        <f t="shared" si="4"/>
        <v>0.0675404894724333</v>
      </c>
      <c r="K34">
        <f t="shared" si="5"/>
        <v>0.0675404894724333</v>
      </c>
    </row>
    <row r="35" spans="1:11">
      <c r="A35" s="4"/>
      <c r="B35" s="4">
        <v>44361.34375</v>
      </c>
      <c r="C35" s="1">
        <v>12.633313</v>
      </c>
      <c r="D35" s="1">
        <v>9.6</v>
      </c>
      <c r="E35" s="1">
        <f t="shared" si="0"/>
        <v>12.633313</v>
      </c>
      <c r="F35" s="1">
        <f t="shared" si="1"/>
        <v>9.6</v>
      </c>
      <c r="H35">
        <f t="shared" si="2"/>
        <v>0.240104317846</v>
      </c>
      <c r="I35">
        <f t="shared" si="3"/>
        <v>0.240104317846</v>
      </c>
      <c r="J35">
        <f t="shared" si="4"/>
        <v>0.0576500834482929</v>
      </c>
      <c r="K35">
        <f t="shared" si="5"/>
        <v>0.0576500834482929</v>
      </c>
    </row>
    <row r="36" spans="1:11">
      <c r="A36" s="4"/>
      <c r="B36" s="4">
        <v>44361.3541666667</v>
      </c>
      <c r="C36" s="1">
        <v>11.676741</v>
      </c>
      <c r="D36" s="1">
        <v>9.38</v>
      </c>
      <c r="E36" s="1">
        <f t="shared" si="0"/>
        <v>11.676741</v>
      </c>
      <c r="F36" s="1">
        <f t="shared" si="1"/>
        <v>9.38</v>
      </c>
      <c r="H36">
        <f t="shared" si="2"/>
        <v>0.196693666494786</v>
      </c>
      <c r="I36">
        <f t="shared" si="3"/>
        <v>0.196693666494786</v>
      </c>
      <c r="J36">
        <f t="shared" si="4"/>
        <v>0.0386883984391623</v>
      </c>
      <c r="K36">
        <f t="shared" si="5"/>
        <v>0.0386883984391623</v>
      </c>
    </row>
    <row r="37" spans="1:11">
      <c r="A37" s="4"/>
      <c r="B37" s="4">
        <v>44361.3645833333</v>
      </c>
      <c r="C37" s="1">
        <v>14.438419</v>
      </c>
      <c r="D37" s="1">
        <v>9.2</v>
      </c>
      <c r="E37" s="1">
        <f t="shared" si="0"/>
        <v>14.438419</v>
      </c>
      <c r="F37" s="1">
        <f t="shared" si="1"/>
        <v>9.2</v>
      </c>
      <c r="H37">
        <f t="shared" si="2"/>
        <v>0.36281112218727</v>
      </c>
      <c r="I37">
        <f t="shared" si="3"/>
        <v>0.36281112218727</v>
      </c>
      <c r="J37">
        <f t="shared" si="4"/>
        <v>0.131631910382786</v>
      </c>
      <c r="K37">
        <f t="shared" si="5"/>
        <v>0.131631910382786</v>
      </c>
    </row>
    <row r="38" spans="1:11">
      <c r="A38" s="4"/>
      <c r="B38" s="4">
        <v>44361.375</v>
      </c>
      <c r="C38" s="1">
        <v>12.987657</v>
      </c>
      <c r="D38" s="1">
        <v>9.1</v>
      </c>
      <c r="E38" s="1">
        <f t="shared" si="0"/>
        <v>12.987657</v>
      </c>
      <c r="F38" s="1">
        <f t="shared" si="1"/>
        <v>9.1</v>
      </c>
      <c r="H38">
        <f t="shared" si="2"/>
        <v>0.299334745289316</v>
      </c>
      <c r="I38">
        <f t="shared" si="3"/>
        <v>0.299334745289316</v>
      </c>
      <c r="J38">
        <f t="shared" si="4"/>
        <v>0.0896012897374196</v>
      </c>
      <c r="K38">
        <f t="shared" si="5"/>
        <v>0.0896012897374196</v>
      </c>
    </row>
    <row r="39" spans="1:11">
      <c r="A39" s="4"/>
      <c r="B39" s="4">
        <v>44361.3854166667</v>
      </c>
      <c r="C39" s="1">
        <v>14.601055</v>
      </c>
      <c r="D39" s="1">
        <v>9.12</v>
      </c>
      <c r="E39" s="1">
        <f t="shared" si="0"/>
        <v>14.601055</v>
      </c>
      <c r="F39" s="1">
        <f t="shared" si="1"/>
        <v>9.12</v>
      </c>
      <c r="H39">
        <f t="shared" si="2"/>
        <v>0.375387600416545</v>
      </c>
      <c r="I39">
        <f t="shared" si="3"/>
        <v>0.375387600416545</v>
      </c>
      <c r="J39">
        <f t="shared" si="4"/>
        <v>0.140915850546492</v>
      </c>
      <c r="K39">
        <f t="shared" si="5"/>
        <v>0.140915850546492</v>
      </c>
    </row>
    <row r="40" spans="1:11">
      <c r="A40" s="4"/>
      <c r="B40" s="4">
        <v>44361.3958333333</v>
      </c>
      <c r="C40" s="1">
        <v>15.045609</v>
      </c>
      <c r="D40" s="1">
        <v>9.29</v>
      </c>
      <c r="E40" s="1">
        <f t="shared" si="0"/>
        <v>15.045609</v>
      </c>
      <c r="F40" s="1">
        <f t="shared" si="1"/>
        <v>9.29</v>
      </c>
      <c r="H40">
        <f t="shared" si="2"/>
        <v>0.382544103066882</v>
      </c>
      <c r="I40">
        <f t="shared" si="3"/>
        <v>0.382544103066882</v>
      </c>
      <c r="J40">
        <f t="shared" si="4"/>
        <v>0.146339990791245</v>
      </c>
      <c r="K40">
        <f t="shared" si="5"/>
        <v>0.146339990791245</v>
      </c>
    </row>
    <row r="41" spans="1:11">
      <c r="A41" s="4"/>
      <c r="B41" s="4">
        <v>44361.40625</v>
      </c>
      <c r="C41" s="1">
        <v>14.008124</v>
      </c>
      <c r="D41" s="1">
        <v>9.61</v>
      </c>
      <c r="E41" s="1">
        <f t="shared" si="0"/>
        <v>14.008124</v>
      </c>
      <c r="F41" s="1">
        <f t="shared" si="1"/>
        <v>9.61</v>
      </c>
      <c r="H41">
        <f t="shared" si="2"/>
        <v>0.313969522257227</v>
      </c>
      <c r="I41">
        <f t="shared" si="3"/>
        <v>0.313969522257227</v>
      </c>
      <c r="J41">
        <f t="shared" si="4"/>
        <v>0.0985768609064316</v>
      </c>
      <c r="K41">
        <f t="shared" si="5"/>
        <v>0.0985768609064316</v>
      </c>
    </row>
    <row r="42" spans="1:11">
      <c r="A42" s="4"/>
      <c r="B42" s="4">
        <v>44361.4166666667</v>
      </c>
      <c r="C42" s="1">
        <v>14.765185</v>
      </c>
      <c r="D42" s="1">
        <v>10.04</v>
      </c>
      <c r="E42" s="1">
        <f t="shared" si="0"/>
        <v>14.765185</v>
      </c>
      <c r="F42" s="1">
        <f t="shared" si="1"/>
        <v>10.04</v>
      </c>
      <c r="H42">
        <f t="shared" si="2"/>
        <v>0.320022065419431</v>
      </c>
      <c r="I42">
        <f t="shared" si="3"/>
        <v>0.320022065419431</v>
      </c>
      <c r="J42">
        <f t="shared" si="4"/>
        <v>0.102414122355319</v>
      </c>
      <c r="K42">
        <f t="shared" si="5"/>
        <v>0.102414122355319</v>
      </c>
    </row>
    <row r="43" spans="1:11">
      <c r="A43" s="4"/>
      <c r="B43" s="4">
        <v>44361.4270833333</v>
      </c>
      <c r="C43" s="1">
        <v>17.448753</v>
      </c>
      <c r="D43" s="1">
        <v>10.56</v>
      </c>
      <c r="E43" s="1">
        <f t="shared" si="0"/>
        <v>17.448753</v>
      </c>
      <c r="F43" s="1">
        <f t="shared" si="1"/>
        <v>10.56</v>
      </c>
      <c r="H43">
        <f t="shared" si="2"/>
        <v>0.394799158426966</v>
      </c>
      <c r="I43">
        <f t="shared" si="3"/>
        <v>0.394799158426966</v>
      </c>
      <c r="J43">
        <f t="shared" si="4"/>
        <v>0.155866375494641</v>
      </c>
      <c r="K43">
        <f t="shared" si="5"/>
        <v>0.155866375494641</v>
      </c>
    </row>
    <row r="44" spans="1:11">
      <c r="A44" s="4"/>
      <c r="B44" s="4">
        <v>44361.4375</v>
      </c>
      <c r="C44" s="1">
        <v>20.452904</v>
      </c>
      <c r="D44" s="1">
        <v>11.11</v>
      </c>
      <c r="E44" s="1">
        <f t="shared" si="0"/>
        <v>20.452904</v>
      </c>
      <c r="F44" s="1">
        <f t="shared" si="1"/>
        <v>11.11</v>
      </c>
      <c r="H44">
        <f t="shared" si="2"/>
        <v>0.456800853316478</v>
      </c>
      <c r="I44">
        <f t="shared" si="3"/>
        <v>0.456800853316478</v>
      </c>
      <c r="J44">
        <f t="shared" si="4"/>
        <v>0.208667019590662</v>
      </c>
      <c r="K44">
        <f t="shared" si="5"/>
        <v>0.208667019590662</v>
      </c>
    </row>
    <row r="45" spans="1:11">
      <c r="A45" s="4"/>
      <c r="B45" s="4">
        <v>44361.4479166667</v>
      </c>
      <c r="C45" s="1">
        <v>18.285183</v>
      </c>
      <c r="D45" s="1">
        <v>11.66</v>
      </c>
      <c r="E45" s="1">
        <f t="shared" si="0"/>
        <v>18.285183</v>
      </c>
      <c r="F45" s="1">
        <f t="shared" si="1"/>
        <v>11.66</v>
      </c>
      <c r="H45">
        <f t="shared" si="2"/>
        <v>0.362325222558615</v>
      </c>
      <c r="I45">
        <f t="shared" si="3"/>
        <v>0.362325222558615</v>
      </c>
      <c r="J45">
        <f t="shared" si="4"/>
        <v>0.13127956690215</v>
      </c>
      <c r="K45">
        <f t="shared" si="5"/>
        <v>0.13127956690215</v>
      </c>
    </row>
    <row r="46" spans="1:11">
      <c r="A46" s="4"/>
      <c r="B46" s="4">
        <v>44361.4583333333</v>
      </c>
      <c r="C46" s="1">
        <v>20.846363</v>
      </c>
      <c r="D46" s="1">
        <v>12.19</v>
      </c>
      <c r="E46" s="1">
        <f t="shared" si="0"/>
        <v>20.846363</v>
      </c>
      <c r="F46" s="1">
        <f t="shared" si="1"/>
        <v>12.19</v>
      </c>
      <c r="H46">
        <f t="shared" si="2"/>
        <v>0.415245719361214</v>
      </c>
      <c r="I46">
        <f t="shared" si="3"/>
        <v>0.415245719361214</v>
      </c>
      <c r="J46">
        <f t="shared" si="4"/>
        <v>0.172429007447812</v>
      </c>
      <c r="K46">
        <f t="shared" si="5"/>
        <v>0.172429007447812</v>
      </c>
    </row>
    <row r="47" spans="2:2">
      <c r="B47" s="4">
        <v>44361.46875</v>
      </c>
    </row>
    <row r="48" spans="2:2">
      <c r="B48" s="4">
        <v>44361.4791666667</v>
      </c>
    </row>
    <row r="49" spans="2:2">
      <c r="B49" s="4">
        <v>44361.4895833333</v>
      </c>
    </row>
    <row r="50" spans="2:2">
      <c r="B50" s="4">
        <v>44361.5</v>
      </c>
    </row>
    <row r="51" spans="2:2">
      <c r="B51" s="4">
        <v>44361.5104166667</v>
      </c>
    </row>
    <row r="52" spans="2:2">
      <c r="B52" s="4">
        <v>44361.5208333333</v>
      </c>
    </row>
    <row r="53" spans="2:2">
      <c r="B53" s="4">
        <v>44361.53125</v>
      </c>
    </row>
    <row r="54" spans="2:2">
      <c r="B54" s="4">
        <v>44361.5416666667</v>
      </c>
    </row>
    <row r="55" spans="2:2">
      <c r="B55" s="4">
        <v>44361.5520833333</v>
      </c>
    </row>
    <row r="56" spans="2:2">
      <c r="B56" s="4">
        <v>44361.5625</v>
      </c>
    </row>
    <row r="57" spans="2:2">
      <c r="B57" s="4">
        <v>44361.5729166667</v>
      </c>
    </row>
    <row r="58" spans="2:2">
      <c r="B58" s="4">
        <v>44361.5833333333</v>
      </c>
    </row>
    <row r="59" spans="2:2">
      <c r="B59" s="4">
        <v>44361.59375</v>
      </c>
    </row>
    <row r="60" spans="2:2">
      <c r="B60" s="4">
        <v>44361.6041666667</v>
      </c>
    </row>
    <row r="61" spans="2:2">
      <c r="B61" s="4">
        <v>44361.6145833333</v>
      </c>
    </row>
    <row r="62" spans="2:2">
      <c r="B62" s="4">
        <v>44361.625</v>
      </c>
    </row>
    <row r="63" spans="2:2">
      <c r="B63" s="4">
        <v>44361.6354166667</v>
      </c>
    </row>
    <row r="64" spans="2:2">
      <c r="B64" s="4">
        <v>44361.6458333333</v>
      </c>
    </row>
    <row r="65" spans="2:2">
      <c r="B65" s="4">
        <v>44361.65625</v>
      </c>
    </row>
    <row r="66" spans="2:2">
      <c r="B66" s="4">
        <v>44361.6666666667</v>
      </c>
    </row>
    <row r="67" spans="2:2">
      <c r="B67" s="4">
        <v>44361.6770833333</v>
      </c>
    </row>
    <row r="68" spans="2:2">
      <c r="B68" s="4">
        <v>44361.6875</v>
      </c>
    </row>
    <row r="69" spans="2:2">
      <c r="B69" s="4">
        <v>44361.6979166667</v>
      </c>
    </row>
    <row r="70" spans="2:2">
      <c r="B70" s="4">
        <v>44361.7083333333</v>
      </c>
    </row>
    <row r="71" spans="2:2">
      <c r="B71" s="4">
        <v>44361.71875</v>
      </c>
    </row>
    <row r="72" spans="2:2">
      <c r="B72" s="4">
        <v>44361.7291666667</v>
      </c>
    </row>
    <row r="73" spans="2:2">
      <c r="B73" s="4">
        <v>44361.7395833333</v>
      </c>
    </row>
    <row r="74" spans="2:2">
      <c r="B74" s="4">
        <v>44361.75</v>
      </c>
    </row>
    <row r="75" spans="2:2">
      <c r="B75" s="4">
        <v>44361.7604166667</v>
      </c>
    </row>
    <row r="76" spans="2:2">
      <c r="B76" s="4">
        <v>44361.7708333333</v>
      </c>
    </row>
    <row r="77" spans="2:2">
      <c r="B77" s="4">
        <v>44361.78125</v>
      </c>
    </row>
    <row r="78" spans="2:2">
      <c r="B78" s="4">
        <v>44361.7916666667</v>
      </c>
    </row>
    <row r="79" spans="2:2">
      <c r="B79" s="4">
        <v>44361.8020833333</v>
      </c>
    </row>
    <row r="80" spans="2:2">
      <c r="B80" s="4">
        <v>44361.8125</v>
      </c>
    </row>
    <row r="81" spans="2:2">
      <c r="B81" s="4">
        <v>44361.8229166667</v>
      </c>
    </row>
    <row r="82" spans="2:2">
      <c r="B82" s="4">
        <v>44361.8333333333</v>
      </c>
    </row>
    <row r="83" spans="2:2">
      <c r="B83" s="4">
        <v>44361.84375</v>
      </c>
    </row>
    <row r="84" spans="2:2">
      <c r="B84" s="4">
        <v>44361.8541666667</v>
      </c>
    </row>
    <row r="85" spans="2:2">
      <c r="B85" s="4">
        <v>44361.8645833333</v>
      </c>
    </row>
    <row r="86" spans="2:2">
      <c r="B86" s="4">
        <v>44361.875</v>
      </c>
    </row>
    <row r="87" spans="2:2">
      <c r="B87" s="4">
        <v>44361.8854166667</v>
      </c>
    </row>
    <row r="88" spans="2:2">
      <c r="B88" s="4">
        <v>44361.8958333333</v>
      </c>
    </row>
    <row r="89" spans="2:2">
      <c r="B89" s="4">
        <v>44361.90625</v>
      </c>
    </row>
    <row r="90" spans="2:2">
      <c r="B90" s="4">
        <v>44361.9166666667</v>
      </c>
    </row>
    <row r="91" spans="2:2">
      <c r="B91" s="4">
        <v>44361.9270833333</v>
      </c>
    </row>
    <row r="92" spans="2:2">
      <c r="B92" s="4">
        <v>44361.9375</v>
      </c>
    </row>
    <row r="93" spans="2:2">
      <c r="B93" s="4">
        <v>44361.9479166667</v>
      </c>
    </row>
    <row r="94" spans="2:2">
      <c r="B94" s="4">
        <v>44361.9583333333</v>
      </c>
    </row>
    <row r="95" spans="2:2">
      <c r="B95" s="4">
        <v>44361.96875</v>
      </c>
    </row>
    <row r="96" spans="2:2">
      <c r="B96" s="4">
        <v>44361.9791666667</v>
      </c>
    </row>
    <row r="97" spans="2:2">
      <c r="B97" s="4">
        <v>44361.9895833333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短期均方根误差、平均绝对误差</vt:lpstr>
      <vt:lpstr>短期相关性系数</vt:lpstr>
      <vt:lpstr>最大误差合格率</vt:lpstr>
      <vt:lpstr>短期合格率</vt:lpstr>
      <vt:lpstr>安徽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2020-06-01T01:02:00Z</dcterms:created>
  <dcterms:modified xsi:type="dcterms:W3CDTF">2022-08-30T07:15:18Z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  <property fmtid="{D5CDD505-2E9C-101B-9397-08002B2CF9AE}" pid="3" name="ICV">
    <vt:lpwstr>398BB1B5EB6643E6820C2A97EFE15231</vt:lpwstr>
  </property>
</Properties>
</file>